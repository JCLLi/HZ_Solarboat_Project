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ard Lee\Dropbox\MECHATRONICS PROJECT 1\2. Research Report\6. Integration\6.2 Subsystem integration phase\User-interface test folder\"/>
    </mc:Choice>
  </mc:AlternateContent>
  <xr:revisionPtr revIDLastSave="0" documentId="13_ncr:1_{F1D7FCD4-C8BF-438D-839B-A3AEDD1DEA51}" xr6:coauthVersionLast="46" xr6:coauthVersionMax="46" xr10:uidLastSave="{00000000-0000-0000-0000-000000000000}"/>
  <bookViews>
    <workbookView xWindow="-108" yWindow="-108" windowWidth="23256" windowHeight="12576" xr2:uid="{CD9A9D57-90EC-400F-BAF6-041477B360C1}"/>
  </bookViews>
  <sheets>
    <sheet name="Inputs - Outputs" sheetId="3" r:id="rId1"/>
    <sheet name="Properties settings" sheetId="2" r:id="rId2"/>
    <sheet name="Sheet1" sheetId="1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2" l="1"/>
  <c r="C24" i="2" a="1"/>
  <c r="C24" i="2" s="1"/>
  <c r="B40" i="3"/>
  <c r="O9" i="3"/>
  <c r="B39" i="3" s="1" a="1"/>
  <c r="B39" i="3" s="1"/>
  <c r="O10" i="3" l="1"/>
  <c r="I10" i="3"/>
  <c r="L16" i="3" l="1"/>
  <c r="R16" i="3" l="1"/>
  <c r="I16" i="3" l="1"/>
  <c r="L9" i="3"/>
  <c r="O16" i="3" l="1"/>
  <c r="L17" i="3" l="1"/>
  <c r="I17" i="3" l="1"/>
  <c r="L18" i="3" l="1"/>
  <c r="L19" i="3" s="1"/>
  <c r="I18" i="3" l="1"/>
  <c r="I9" i="3"/>
  <c r="R17" i="3"/>
  <c r="I11" i="3" l="1"/>
  <c r="I19" i="3"/>
  <c r="O17" i="3" l="1"/>
  <c r="R10" i="3" s="1"/>
  <c r="R9" i="3" s="1"/>
  <c r="B3" i="1" l="1"/>
  <c r="E2" i="1"/>
  <c r="F2" i="1" s="1"/>
  <c r="B2" i="1"/>
  <c r="C4" i="1" s="1" a="1"/>
  <c r="C4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<sst xmlns="http://schemas.openxmlformats.org/spreadsheetml/2006/main" count="75" uniqueCount="67">
  <si>
    <t>Coefficient [I]</t>
    <phoneticPr fontId="2" type="noConversion"/>
  </si>
  <si>
    <t>Input value [U]</t>
    <phoneticPr fontId="2" type="noConversion"/>
  </si>
  <si>
    <t>Output value [P]</t>
    <phoneticPr fontId="2" type="noConversion"/>
  </si>
  <si>
    <r>
      <t>S</t>
    </r>
    <r>
      <rPr>
        <sz val="11"/>
        <color rgb="FF000000"/>
        <rFont val="等线"/>
        <family val="3"/>
        <charset val="134"/>
        <scheme val="minor"/>
      </rPr>
      <t>imulation input state signal</t>
    </r>
    <phoneticPr fontId="2" type="noConversion"/>
  </si>
  <si>
    <t>Simulation state signal</t>
    <phoneticPr fontId="2" type="noConversion"/>
  </si>
  <si>
    <t>Gear lubricant density(p)</t>
  </si>
  <si>
    <t xml:space="preserve">Gear lubricant viscosity (u)                                          </t>
  </si>
  <si>
    <t>Gear immersion depth ratio(h)</t>
  </si>
  <si>
    <t>Gear modulus(m)</t>
  </si>
  <si>
    <t>Gear tooth width ratio(b)</t>
  </si>
  <si>
    <t>Gear tooth number(z)</t>
  </si>
  <si>
    <t>Liquid density [kg/m^3]</t>
  </si>
  <si>
    <t>Gear dedendum radius(f)</t>
  </si>
  <si>
    <t>Wake fraction coefficient (w)</t>
  </si>
  <si>
    <t>Gear addendum radius(e)</t>
  </si>
  <si>
    <t>Thrust deduction coefficient (t)</t>
  </si>
  <si>
    <t>r_shaft [m]</t>
  </si>
  <si>
    <t>Gear index circle diameter of driving wheel(d)</t>
  </si>
  <si>
    <t>Torque coefficient (Kq)</t>
  </si>
  <si>
    <t>Load [N]</t>
  </si>
  <si>
    <t>Gear index circle pressure angle(l)</t>
  </si>
  <si>
    <t>Thrust coefficient (Kt)</t>
  </si>
  <si>
    <t>Seal coefficient</t>
  </si>
  <si>
    <t>Gear transmission ratio</t>
  </si>
  <si>
    <t>Propellor diameter [m]</t>
  </si>
  <si>
    <t>Friction coefficient</t>
  </si>
  <si>
    <t>Gear friction coefficient(a)</t>
  </si>
  <si>
    <t>Propellor</t>
  </si>
  <si>
    <t>Bearing</t>
  </si>
  <si>
    <t>Gearing</t>
  </si>
  <si>
    <t>num</t>
    <phoneticPr fontId="2" type="noConversion"/>
  </si>
  <si>
    <t>zero</t>
    <phoneticPr fontId="2" type="noConversion"/>
  </si>
  <si>
    <t>Legend</t>
  </si>
  <si>
    <t>User input</t>
  </si>
  <si>
    <t>Page 1</t>
  </si>
  <si>
    <t>Outputs</t>
  </si>
  <si>
    <t>System properties settings</t>
    <phoneticPr fontId="10" type="noConversion"/>
  </si>
  <si>
    <t>Page 2</t>
  </si>
  <si>
    <t>Input</t>
    <phoneticPr fontId="13" type="noConversion"/>
  </si>
  <si>
    <t>System Outputs</t>
    <phoneticPr fontId="10" type="noConversion"/>
  </si>
  <si>
    <t>General</t>
  </si>
  <si>
    <t>Power</t>
  </si>
  <si>
    <t>Thrust</t>
  </si>
  <si>
    <t>Speed</t>
  </si>
  <si>
    <t>Percentage</t>
  </si>
  <si>
    <t>Boat speed [m/s]</t>
  </si>
  <si>
    <t>Power input</t>
  </si>
  <si>
    <t>Boat speed</t>
  </si>
  <si>
    <t>Efficiency [%]</t>
    <phoneticPr fontId="10" type="noConversion"/>
  </si>
  <si>
    <t>Power output</t>
  </si>
  <si>
    <t>Rotational speed</t>
  </si>
  <si>
    <t>Power loss [%]</t>
    <phoneticPr fontId="10" type="noConversion"/>
  </si>
  <si>
    <t>Power loss</t>
  </si>
  <si>
    <t>Sub-system Outputs</t>
    <phoneticPr fontId="10" type="noConversion"/>
  </si>
  <si>
    <t>Motor properties</t>
  </si>
  <si>
    <t>Gearing properties</t>
    <phoneticPr fontId="13" type="noConversion"/>
  </si>
  <si>
    <t>Bearing properties</t>
    <phoneticPr fontId="13" type="noConversion"/>
  </si>
  <si>
    <t>Propellor properties</t>
    <phoneticPr fontId="13" type="noConversion"/>
  </si>
  <si>
    <t>Output rotation speed [rpm]</t>
    <phoneticPr fontId="13" type="noConversion"/>
  </si>
  <si>
    <t>Power loss [W]</t>
    <phoneticPr fontId="13" type="noConversion"/>
  </si>
  <si>
    <t>Output torque [N·m]</t>
    <phoneticPr fontId="13" type="noConversion"/>
  </si>
  <si>
    <t>Torque [N·m]</t>
    <phoneticPr fontId="13" type="noConversion"/>
  </si>
  <si>
    <t>Power loss [%]</t>
    <phoneticPr fontId="13" type="noConversion"/>
  </si>
  <si>
    <t>Power loss [%]</t>
  </si>
  <si>
    <t>pie chart power loss</t>
  </si>
  <si>
    <t>energy consumption/km at cst speed</t>
  </si>
  <si>
    <t>ew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</si>
</sst>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0.5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rgb="FF006100"/>
      <name val="等线"/>
      <family val="2"/>
      <scheme val="minor"/>
    </font>
    <font>
      <sz val="11"/>
      <color theme="0"/>
      <name val="等线"/>
      <family val="2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3F3F3F"/>
      <name val="等线"/>
      <family val="2"/>
      <scheme val="minor"/>
    </font>
    <font>
      <sz val="8"/>
      <name val="等线"/>
      <family val="2"/>
      <scheme val="minor"/>
    </font>
    <font>
      <b/>
      <sz val="15"/>
      <color theme="3"/>
      <name val="等线"/>
      <family val="2"/>
      <scheme val="minor"/>
    </font>
    <font>
      <b/>
      <sz val="36"/>
      <color theme="3"/>
      <name val="等线"/>
      <family val="2"/>
      <scheme val="minor"/>
    </font>
    <font>
      <sz val="9"/>
      <name val="等线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theme="4"/>
      </top>
      <bottom/>
      <diagonal/>
    </border>
  </borders>
  <cellStyleXfs count="8">
    <xf numFmtId="0" fontId="0" fillId="0" borderId="0">
      <alignment vertical="center"/>
    </xf>
    <xf numFmtId="0" fontId="1" fillId="0" borderId="0"/>
    <xf numFmtId="0" fontId="6" fillId="2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9" fillId="3" borderId="2" applyNumberFormat="0" applyAlignment="0" applyProtection="0"/>
    <xf numFmtId="0" fontId="1" fillId="6" borderId="0" applyNumberFormat="0" applyBorder="0" applyAlignment="0" applyProtection="0"/>
    <xf numFmtId="0" fontId="11" fillId="0" borderId="1" applyNumberFormat="0" applyFill="0" applyAlignment="0" applyProtection="0"/>
  </cellStyleXfs>
  <cellXfs count="27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4" fillId="0" borderId="0" xfId="0" applyFont="1">
      <alignment vertical="center"/>
    </xf>
    <xf numFmtId="0" fontId="1" fillId="0" borderId="0" xfId="1"/>
    <xf numFmtId="0" fontId="6" fillId="2" borderId="0" xfId="2"/>
    <xf numFmtId="0" fontId="7" fillId="4" borderId="0" xfId="3"/>
    <xf numFmtId="0" fontId="7" fillId="5" borderId="0" xfId="4"/>
    <xf numFmtId="0" fontId="6" fillId="2" borderId="7" xfId="2" applyBorder="1"/>
    <xf numFmtId="0" fontId="9" fillId="3" borderId="9" xfId="5" applyBorder="1"/>
    <xf numFmtId="0" fontId="1" fillId="6" borderId="12" xfId="6" applyBorder="1"/>
    <xf numFmtId="0" fontId="9" fillId="3" borderId="2" xfId="5"/>
    <xf numFmtId="0" fontId="9" fillId="7" borderId="2" xfId="5" applyFill="1"/>
    <xf numFmtId="0" fontId="7" fillId="4" borderId="0" xfId="3" applyAlignment="1">
      <alignment horizontal="center"/>
    </xf>
    <xf numFmtId="0" fontId="1" fillId="6" borderId="0" xfId="6"/>
    <xf numFmtId="0" fontId="7" fillId="4" borderId="13" xfId="3" applyBorder="1" applyAlignment="1">
      <alignment horizontal="center"/>
    </xf>
    <xf numFmtId="0" fontId="7" fillId="4" borderId="0" xfId="3" applyAlignment="1">
      <alignment horizontal="center"/>
    </xf>
    <xf numFmtId="0" fontId="12" fillId="0" borderId="1" xfId="7" applyFont="1" applyAlignment="1">
      <alignment horizontal="center"/>
    </xf>
    <xf numFmtId="0" fontId="7" fillId="4" borderId="3" xfId="3" applyBorder="1" applyAlignment="1">
      <alignment horizontal="center"/>
    </xf>
    <xf numFmtId="0" fontId="7" fillId="4" borderId="4" xfId="3" applyBorder="1" applyAlignment="1">
      <alignment horizontal="center"/>
    </xf>
    <xf numFmtId="0" fontId="7" fillId="4" borderId="5" xfId="3" applyBorder="1" applyAlignment="1">
      <alignment horizontal="center"/>
    </xf>
    <xf numFmtId="0" fontId="6" fillId="2" borderId="6" xfId="2" applyBorder="1" applyAlignment="1">
      <alignment horizontal="center"/>
    </xf>
    <xf numFmtId="0" fontId="6" fillId="2" borderId="0" xfId="2" applyBorder="1" applyAlignment="1">
      <alignment horizontal="center"/>
    </xf>
    <xf numFmtId="0" fontId="9" fillId="3" borderId="8" xfId="5" applyBorder="1" applyAlignment="1">
      <alignment horizontal="center"/>
    </xf>
    <xf numFmtId="0" fontId="9" fillId="3" borderId="2" xfId="5" applyAlignment="1">
      <alignment horizontal="center"/>
    </xf>
    <xf numFmtId="0" fontId="1" fillId="6" borderId="10" xfId="6" applyBorder="1" applyAlignment="1">
      <alignment horizontal="center"/>
    </xf>
    <xf numFmtId="0" fontId="1" fillId="6" borderId="11" xfId="6" applyBorder="1" applyAlignment="1">
      <alignment horizontal="center"/>
    </xf>
    <xf numFmtId="0" fontId="8" fillId="4" borderId="0" xfId="3" applyFont="1" applyAlignment="1">
      <alignment horizontal="center"/>
    </xf>
  </cellXfs>
  <cellStyles count="8">
    <cellStyle name="60% - 着色 3 2" xfId="6" xr:uid="{D160B4CD-C4D9-4831-B3A5-5F1B0EF6C92E}"/>
    <cellStyle name="标题 1 2" xfId="7" xr:uid="{4535743B-8F2D-4A05-9B8E-52D7E4A3A9A1}"/>
    <cellStyle name="常规" xfId="0" builtinId="0"/>
    <cellStyle name="常规 2" xfId="1" xr:uid="{0C8A0A13-E598-4384-88E0-229610EC723D}"/>
    <cellStyle name="好 2" xfId="2" xr:uid="{7D68103A-414C-46DB-993A-3D39C5FA730C}"/>
    <cellStyle name="输出 2" xfId="5" xr:uid="{CFF229C7-DDD5-46EB-895B-690CF9722428}"/>
    <cellStyle name="着色 1 2" xfId="3" xr:uid="{8E1553D5-830A-48C7-B72C-8DDF16C64969}"/>
    <cellStyle name="着色 3 2" xfId="4" xr:uid="{774A9EE3-9FE4-4BE6-8614-5B8A0B3BFCB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0" Type="http://schemas.microsoft.com/office/2017/06/relationships/rdRichValueStructure" Target="richData/rdrichvaluestructure.xml"/><Relationship Id="rId4" Type="http://schemas.openxmlformats.org/officeDocument/2006/relationships/externalLink" Target="externalLinks/externalLink1.xml"/><Relationship Id="rId9" Type="http://schemas.microsoft.com/office/2017/06/relationships/rdRichValue" Target="richData/rdrichvalue.xml"/></Relationships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/Users/Richard%20Lee/Dropbox/MECHATRONICS%20PROJECT%201/2.%20Research%20Report/6.%20Integration/6.2%20Subsystem%20integration%20phase/USER_INTERFACE_FORMAT_MET_Solarboat_ChenLiCrombeenHoogesteger_V2_2021-01-08%20(Marco%20Hoogesteger's%20conflicted%20copy%202021-01-12).xlsm?BDA7FDFC" TargetMode="External"/><Relationship Id="rId1" Type="http://schemas.openxmlformats.org/officeDocument/2006/relationships/externalLinkPath" Target="file:///\\BDA7FDFC\USER_INTERFACE_FORMAT_MET_Solarboat_ChenLiCrombeenHoogesteger_V2_2021-01-08%20(Marco%20Hoogesteger's%20conflicted%20copy%202021-01-1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 - Outputs"/>
      <sheetName val="Properties settings"/>
      <sheetName val="Motor"/>
      <sheetName val="MotorV2"/>
      <sheetName val="Gearing"/>
      <sheetName val="Bearing"/>
      <sheetName val="Propellor"/>
    </sheetNames>
    <sheetDataSet>
      <sheetData sheetId="0" refreshError="1"/>
      <sheetData sheetId="1" refreshError="1"/>
      <sheetData sheetId="2" refreshError="1">
        <row r="11">
          <cell r="B11">
            <v>283.08544964790207</v>
          </cell>
        </row>
        <row r="12">
          <cell r="B12">
            <v>321.68801096352507</v>
          </cell>
        </row>
      </sheetData>
      <sheetData sheetId="3" refreshError="1"/>
      <sheetData sheetId="4" refreshError="1">
        <row r="2">
          <cell r="B2">
            <v>231.58124081172548</v>
          </cell>
        </row>
        <row r="3">
          <cell r="B3">
            <v>10.355358463838281</v>
          </cell>
        </row>
        <row r="19">
          <cell r="B19">
            <v>694.74372243517644</v>
          </cell>
        </row>
        <row r="20">
          <cell r="B20">
            <v>3.4517861546127602</v>
          </cell>
        </row>
        <row r="21">
          <cell r="B21">
            <v>31.974793930009703</v>
          </cell>
        </row>
      </sheetData>
      <sheetData sheetId="5" refreshError="1">
        <row r="2">
          <cell r="B2">
            <v>0.10907476442232271</v>
          </cell>
        </row>
        <row r="3">
          <cell r="B3">
            <v>3.3907003277996041E-2</v>
          </cell>
        </row>
      </sheetData>
      <sheetData sheetId="6" refreshError="1">
        <row r="4">
          <cell r="Q4">
            <v>176.59060779352231</v>
          </cell>
        </row>
        <row r="7">
          <cell r="Q7">
            <v>74.429470320582908</v>
          </cell>
        </row>
        <row r="10">
          <cell r="Q10">
            <v>231.58124081172548</v>
          </cell>
        </row>
        <row r="11">
          <cell r="Q11">
            <v>10.350860745146502</v>
          </cell>
        </row>
      </sheetData>
    </sheetDataSet>
  </externalBook>
</externalLink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0</v>
    <v>3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894F1-2C40-44ED-8E87-4CEB749B4CA0}">
  <sheetPr codeName="Sheet3"/>
  <dimension ref="B1:R40"/>
  <sheetViews>
    <sheetView tabSelected="1" zoomScaleNormal="100" workbookViewId="0">
      <selection activeCell="D15" sqref="D15"/>
    </sheetView>
  </sheetViews>
  <sheetFormatPr defaultColWidth="8.88671875" defaultRowHeight="13.8" x14ac:dyDescent="0.25"/>
  <cols>
    <col min="1" max="1" width="8.88671875" style="3"/>
    <col min="2" max="2" width="16.33203125" style="3" bestFit="1" customWidth="1"/>
    <col min="3" max="4" width="8.88671875" style="3"/>
    <col min="5" max="5" width="8.88671875" style="3" customWidth="1"/>
    <col min="6" max="6" width="2.44140625" style="6" customWidth="1"/>
    <col min="7" max="7" width="8.88671875" style="3"/>
    <col min="8" max="8" width="25.33203125" style="3" customWidth="1"/>
    <col min="9" max="9" width="8.88671875" style="3" customWidth="1"/>
    <col min="10" max="10" width="8.88671875" style="3"/>
    <col min="11" max="11" width="24.5546875" style="3" customWidth="1"/>
    <col min="12" max="12" width="8.88671875" style="3" customWidth="1"/>
    <col min="13" max="13" width="8.88671875" style="3"/>
    <col min="14" max="14" width="16.109375" style="3" bestFit="1" customWidth="1"/>
    <col min="15" max="15" width="15.33203125" style="3" customWidth="1"/>
    <col min="16" max="16" width="8.88671875" style="3"/>
    <col min="17" max="17" width="13.5546875" style="3" customWidth="1"/>
    <col min="18" max="18" width="8.88671875" style="3" customWidth="1"/>
    <col min="19" max="16384" width="8.88671875" style="3"/>
  </cols>
  <sheetData>
    <row r="1" spans="2:18" ht="14.4" thickBot="1" x14ac:dyDescent="0.3"/>
    <row r="2" spans="2:18" x14ac:dyDescent="0.25">
      <c r="B2" s="17" t="s">
        <v>32</v>
      </c>
      <c r="C2" s="18"/>
      <c r="D2" s="19"/>
    </row>
    <row r="3" spans="2:18" x14ac:dyDescent="0.25">
      <c r="B3" s="20" t="s">
        <v>33</v>
      </c>
      <c r="C3" s="21"/>
      <c r="D3" s="7" t="s">
        <v>34</v>
      </c>
    </row>
    <row r="4" spans="2:18" x14ac:dyDescent="0.25">
      <c r="B4" s="22" t="s">
        <v>35</v>
      </c>
      <c r="C4" s="23"/>
      <c r="D4" s="8" t="s">
        <v>34</v>
      </c>
    </row>
    <row r="5" spans="2:18" ht="14.4" thickBot="1" x14ac:dyDescent="0.3">
      <c r="B5" s="24" t="s">
        <v>36</v>
      </c>
      <c r="C5" s="25"/>
      <c r="D5" s="9" t="s">
        <v>37</v>
      </c>
    </row>
    <row r="7" spans="2:18" ht="45.6" thickBot="1" x14ac:dyDescent="0.8">
      <c r="B7" s="16" t="s">
        <v>38</v>
      </c>
      <c r="C7" s="16"/>
      <c r="H7" s="16" t="s">
        <v>39</v>
      </c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2:18" ht="24.6" customHeight="1" thickTop="1" x14ac:dyDescent="0.25">
      <c r="B8" s="15" t="s">
        <v>40</v>
      </c>
      <c r="C8" s="15"/>
      <c r="H8" s="14" t="s">
        <v>41</v>
      </c>
      <c r="I8" s="14"/>
      <c r="K8" s="14" t="s">
        <v>42</v>
      </c>
      <c r="L8" s="14"/>
      <c r="N8" s="14" t="s">
        <v>43</v>
      </c>
      <c r="O8" s="14"/>
      <c r="Q8" s="14" t="s">
        <v>44</v>
      </c>
      <c r="R8" s="14"/>
    </row>
    <row r="9" spans="2:18" x14ac:dyDescent="0.25">
      <c r="B9" s="5" t="s">
        <v>45</v>
      </c>
      <c r="C9" s="4" t="s">
        <v>66</v>
      </c>
      <c r="H9" s="5" t="s">
        <v>46</v>
      </c>
      <c r="I9" s="10">
        <f>[1]Motor!B12</f>
        <v>321.68801096352507</v>
      </c>
      <c r="K9" s="5" t="s">
        <v>42</v>
      </c>
      <c r="L9" s="11">
        <f>[1]Propellor!Q11</f>
        <v>10.350860745146502</v>
      </c>
      <c r="N9" s="5" t="s">
        <v>47</v>
      </c>
      <c r="O9" s="10" t="str">
        <f>C9</f>
        <v>ew</v>
      </c>
      <c r="Q9" s="5" t="s">
        <v>48</v>
      </c>
      <c r="R9" s="10">
        <f>100-R10</f>
        <v>54.889241940977385</v>
      </c>
    </row>
    <row r="10" spans="2:18" x14ac:dyDescent="0.25">
      <c r="H10" s="5" t="s">
        <v>49</v>
      </c>
      <c r="I10" s="10">
        <f>[1]Propellor!Q4</f>
        <v>176.59060779352231</v>
      </c>
      <c r="N10" s="5" t="s">
        <v>50</v>
      </c>
      <c r="O10" s="10">
        <f>[1]Propellor!Q10</f>
        <v>231.58124081172548</v>
      </c>
      <c r="Q10" s="5" t="s">
        <v>51</v>
      </c>
      <c r="R10" s="10">
        <f>'Inputs - Outputs'!I19+'Inputs - Outputs'!L19+'Inputs - Outputs'!O17+'Inputs - Outputs'!R17</f>
        <v>45.110758059022615</v>
      </c>
    </row>
    <row r="11" spans="2:18" x14ac:dyDescent="0.25">
      <c r="H11" s="5" t="s">
        <v>52</v>
      </c>
      <c r="I11" s="10">
        <f>'Inputs - Outputs'!I18+'Inputs - Outputs'!L18+'Inputs - Outputs'!O16+'Inputs - Outputs'!R16</f>
        <v>145.11590033063794</v>
      </c>
    </row>
    <row r="14" spans="2:18" ht="45.6" thickBot="1" x14ac:dyDescent="0.8">
      <c r="H14" s="16" t="s">
        <v>53</v>
      </c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2:18" ht="27" customHeight="1" thickTop="1" x14ac:dyDescent="0.25">
      <c r="H15" s="14" t="s">
        <v>54</v>
      </c>
      <c r="I15" s="14"/>
      <c r="K15" s="14" t="s">
        <v>55</v>
      </c>
      <c r="L15" s="14"/>
      <c r="N15" s="14" t="s">
        <v>56</v>
      </c>
      <c r="O15" s="14"/>
      <c r="Q15" s="14" t="s">
        <v>57</v>
      </c>
      <c r="R15" s="14"/>
    </row>
    <row r="16" spans="2:18" x14ac:dyDescent="0.25">
      <c r="H16" s="12" t="s">
        <v>58</v>
      </c>
      <c r="I16" s="13">
        <f>[1]Gearing!B19</f>
        <v>694.74372243517644</v>
      </c>
      <c r="K16" s="12" t="s">
        <v>58</v>
      </c>
      <c r="L16" s="13">
        <f>[1]Gearing!B2</f>
        <v>231.58124081172548</v>
      </c>
      <c r="N16" s="12" t="s">
        <v>59</v>
      </c>
      <c r="O16" s="13">
        <f>[1]Bearing!B2</f>
        <v>0.10907476442232271</v>
      </c>
      <c r="Q16" s="12" t="s">
        <v>59</v>
      </c>
      <c r="R16" s="13">
        <f>[1]Propellor!Q7</f>
        <v>74.429470320582908</v>
      </c>
    </row>
    <row r="17" spans="8:18" x14ac:dyDescent="0.25">
      <c r="H17" s="12" t="s">
        <v>60</v>
      </c>
      <c r="I17" s="13">
        <f>[1]Gearing!B20</f>
        <v>3.4517861546127602</v>
      </c>
      <c r="K17" s="12" t="s">
        <v>61</v>
      </c>
      <c r="L17" s="13">
        <f>[1]Gearing!B3</f>
        <v>10.355358463838281</v>
      </c>
      <c r="N17" s="12" t="s">
        <v>62</v>
      </c>
      <c r="O17" s="13">
        <f>[1]Bearing!B3</f>
        <v>3.3907003277996041E-2</v>
      </c>
      <c r="Q17" s="12" t="s">
        <v>62</v>
      </c>
      <c r="R17" s="13">
        <f>R16*100/[1]Motor!B12</f>
        <v>23.137160162621718</v>
      </c>
    </row>
    <row r="18" spans="8:18" x14ac:dyDescent="0.25">
      <c r="H18" s="12" t="s">
        <v>59</v>
      </c>
      <c r="I18" s="13">
        <f>[1]Motor!B12-[1]Motor!B11</f>
        <v>38.602561315623007</v>
      </c>
      <c r="K18" s="12" t="s">
        <v>59</v>
      </c>
      <c r="L18" s="13">
        <f>[1]Gearing!B21</f>
        <v>31.974793930009703</v>
      </c>
    </row>
    <row r="19" spans="8:18" x14ac:dyDescent="0.25">
      <c r="H19" s="12" t="s">
        <v>63</v>
      </c>
      <c r="I19" s="13">
        <f>I18*100/[1]Motor!B12</f>
        <v>12</v>
      </c>
      <c r="K19" s="12" t="s">
        <v>63</v>
      </c>
      <c r="L19" s="13">
        <f>L18*100/[1]Motor!B12</f>
        <v>9.9396908931229024</v>
      </c>
    </row>
    <row r="26" spans="8:18" x14ac:dyDescent="0.25">
      <c r="H26" s="3" t="s">
        <v>64</v>
      </c>
    </row>
    <row r="27" spans="8:18" x14ac:dyDescent="0.25">
      <c r="H27" s="3" t="s">
        <v>65</v>
      </c>
    </row>
    <row r="39" spans="2:2" x14ac:dyDescent="0.25">
      <c r="B39" s="3" t="str" cm="1">
        <f t="array" ref="B39">IF(AND(ISNUMBER(I9:I11),ISNUMBER(L9),ISNUMBER(O9:O10),ISNUMBER(R9:R10)),"TRUE","FLASE")</f>
        <v>FLASE</v>
      </c>
    </row>
    <row r="40" spans="2:2" x14ac:dyDescent="0.25">
      <c r="B40" s="3" t="str">
        <f>IF(ISNUMBER(C9),"TRUE","FALSE")</f>
        <v>FALSE</v>
      </c>
    </row>
  </sheetData>
  <mergeCells count="16">
    <mergeCell ref="H7:R7"/>
    <mergeCell ref="B2:D2"/>
    <mergeCell ref="B3:C3"/>
    <mergeCell ref="B4:C4"/>
    <mergeCell ref="B5:C5"/>
    <mergeCell ref="B7:C7"/>
    <mergeCell ref="H15:I15"/>
    <mergeCell ref="K15:L15"/>
    <mergeCell ref="N15:O15"/>
    <mergeCell ref="Q15:R15"/>
    <mergeCell ref="B8:C8"/>
    <mergeCell ref="H8:I8"/>
    <mergeCell ref="K8:L8"/>
    <mergeCell ref="N8:O8"/>
    <mergeCell ref="Q8:R8"/>
    <mergeCell ref="H14:R14"/>
  </mergeCells>
  <phoneticPr fontId="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E29FF-5D7A-4F50-A23D-3BB22BC6D0F0}">
  <sheetPr codeName="Sheet2"/>
  <dimension ref="A1:K25"/>
  <sheetViews>
    <sheetView workbookViewId="0">
      <selection activeCell="D13" sqref="D13"/>
    </sheetView>
  </sheetViews>
  <sheetFormatPr defaultColWidth="8.88671875" defaultRowHeight="13.8" x14ac:dyDescent="0.25"/>
  <cols>
    <col min="1" max="1" width="41.33203125" style="3" customWidth="1"/>
    <col min="2" max="2" width="10.44140625" style="3" customWidth="1"/>
    <col min="3" max="3" width="8.88671875" style="3"/>
    <col min="4" max="4" width="19" style="3" customWidth="1"/>
    <col min="5" max="5" width="8.88671875" style="3"/>
    <col min="6" max="6" width="9.109375" style="3" bestFit="1" customWidth="1"/>
    <col min="7" max="7" width="27.88671875" style="3" customWidth="1"/>
    <col min="8" max="10" width="8.88671875" style="3"/>
    <col min="11" max="11" width="0" style="3" hidden="1" customWidth="1"/>
    <col min="12" max="12" width="9.109375" style="3" customWidth="1"/>
    <col min="13" max="16384" width="8.88671875" style="3"/>
  </cols>
  <sheetData>
    <row r="1" spans="1:11" x14ac:dyDescent="0.25">
      <c r="A1" s="26" t="s">
        <v>29</v>
      </c>
      <c r="B1" s="26"/>
      <c r="D1" s="26" t="s">
        <v>28</v>
      </c>
      <c r="E1" s="26"/>
      <c r="G1" s="26" t="s">
        <v>27</v>
      </c>
      <c r="H1" s="26"/>
    </row>
    <row r="2" spans="1:11" x14ac:dyDescent="0.25">
      <c r="A2" s="5" t="s">
        <v>26</v>
      </c>
      <c r="B2" s="4">
        <v>0</v>
      </c>
      <c r="D2" s="5" t="s">
        <v>25</v>
      </c>
      <c r="E2" s="4">
        <v>1.5E-3</v>
      </c>
      <c r="G2" s="5" t="s">
        <v>24</v>
      </c>
      <c r="H2" s="4">
        <v>0.48</v>
      </c>
    </row>
    <row r="3" spans="1:11" x14ac:dyDescent="0.25">
      <c r="A3" s="5" t="s">
        <v>23</v>
      </c>
      <c r="B3" s="4">
        <v>1</v>
      </c>
      <c r="D3" s="5" t="s">
        <v>22</v>
      </c>
      <c r="E3" s="4">
        <v>1</v>
      </c>
      <c r="G3" s="5" t="s">
        <v>21</v>
      </c>
      <c r="H3" s="4">
        <v>9.4299999999999995E-2</v>
      </c>
      <c r="K3" s="3" t="s">
        <v>30</v>
      </c>
    </row>
    <row r="4" spans="1:11" x14ac:dyDescent="0.25">
      <c r="A4" s="5" t="s">
        <v>20</v>
      </c>
      <c r="B4" s="4">
        <v>1</v>
      </c>
      <c r="D4" s="5" t="s">
        <v>19</v>
      </c>
      <c r="E4" s="4">
        <v>100</v>
      </c>
      <c r="G4" s="5" t="s">
        <v>18</v>
      </c>
      <c r="H4" s="4">
        <v>5</v>
      </c>
      <c r="K4" s="3" t="s">
        <v>31</v>
      </c>
    </row>
    <row r="5" spans="1:11" x14ac:dyDescent="0.25">
      <c r="A5" s="5" t="s">
        <v>17</v>
      </c>
      <c r="B5" s="4">
        <v>1</v>
      </c>
      <c r="D5" s="5" t="s">
        <v>16</v>
      </c>
      <c r="E5" s="4">
        <v>1.4999999999999999E-2</v>
      </c>
      <c r="G5" s="5" t="s">
        <v>15</v>
      </c>
      <c r="H5" s="4">
        <v>2</v>
      </c>
    </row>
    <row r="6" spans="1:11" x14ac:dyDescent="0.25">
      <c r="A6" s="5" t="s">
        <v>14</v>
      </c>
      <c r="B6" s="4">
        <v>0.32</v>
      </c>
      <c r="G6" s="5" t="s">
        <v>13</v>
      </c>
      <c r="H6" s="4">
        <v>0.02</v>
      </c>
    </row>
    <row r="7" spans="1:11" x14ac:dyDescent="0.25">
      <c r="A7" s="5" t="s">
        <v>12</v>
      </c>
      <c r="B7" s="4">
        <v>0.28000000000000003</v>
      </c>
      <c r="G7" s="5" t="s">
        <v>11</v>
      </c>
      <c r="H7" s="4">
        <v>988</v>
      </c>
    </row>
    <row r="8" spans="1:11" x14ac:dyDescent="0.25">
      <c r="A8" s="5" t="s">
        <v>10</v>
      </c>
      <c r="B8" s="4">
        <v>15</v>
      </c>
    </row>
    <row r="9" spans="1:11" x14ac:dyDescent="0.25">
      <c r="A9" s="5" t="s">
        <v>9</v>
      </c>
      <c r="B9" s="4">
        <v>0.2</v>
      </c>
    </row>
    <row r="10" spans="1:11" x14ac:dyDescent="0.25">
      <c r="A10" s="5" t="s">
        <v>8</v>
      </c>
      <c r="B10" s="4">
        <v>1</v>
      </c>
    </row>
    <row r="11" spans="1:11" x14ac:dyDescent="0.25">
      <c r="A11" s="5" t="s">
        <v>7</v>
      </c>
      <c r="B11" s="4">
        <v>1</v>
      </c>
    </row>
    <row r="12" spans="1:11" x14ac:dyDescent="0.25">
      <c r="A12" s="5" t="s">
        <v>6</v>
      </c>
      <c r="B12" s="4">
        <v>2</v>
      </c>
    </row>
    <row r="13" spans="1:11" x14ac:dyDescent="0.25">
      <c r="A13" s="5" t="s">
        <v>5</v>
      </c>
      <c r="B13" s="4">
        <v>4</v>
      </c>
    </row>
    <row r="24" spans="3:3" hidden="1" x14ac:dyDescent="0.25">
      <c r="C24" s="3" t="str" cm="1">
        <f t="array" ref="C24">IF(AND(ISNUMBER(B2:B13),ISNUMBER(E2:E5),ISNUMBER(H2:H6)),"TRUE","FALSE")</f>
        <v>TRUE</v>
      </c>
    </row>
    <row r="25" spans="3:3" hidden="1" x14ac:dyDescent="0.25">
      <c r="C25" s="3" t="str">
        <f>IF(AND(B2:B13,E2:E5,H2:H7),"TRUE","FALSE")</f>
        <v>FALSE</v>
      </c>
    </row>
  </sheetData>
  <mergeCells count="3">
    <mergeCell ref="A1:B1"/>
    <mergeCell ref="D1:E1"/>
    <mergeCell ref="G1:H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A77C8-D0E3-4057-8525-8974042CBA92}">
  <sheetPr codeName="Sheet1"/>
  <dimension ref="A1:F4"/>
  <sheetViews>
    <sheetView workbookViewId="0">
      <selection activeCell="H14" sqref="H14"/>
    </sheetView>
  </sheetViews>
  <sheetFormatPr defaultRowHeight="13.8" x14ac:dyDescent="0.25"/>
  <cols>
    <col min="1" max="1" width="14.6640625" customWidth="1"/>
    <col min="2" max="2" width="15.6640625" customWidth="1"/>
    <col min="3" max="3" width="12.109375" customWidth="1"/>
    <col min="5" max="5" width="17.33203125" customWidth="1"/>
    <col min="6" max="6" width="21.6640625" customWidth="1"/>
  </cols>
  <sheetData>
    <row r="1" spans="1:6" ht="27.6" x14ac:dyDescent="0.25">
      <c r="A1" t="s">
        <v>1</v>
      </c>
      <c r="B1" s="1" t="s">
        <v>3</v>
      </c>
      <c r="C1" t="s">
        <v>0</v>
      </c>
      <c r="E1" t="s">
        <v>2</v>
      </c>
      <c r="F1" s="2" t="s">
        <v>4</v>
      </c>
    </row>
    <row r="2" spans="1:6" x14ac:dyDescent="0.25">
      <c r="A2">
        <v>2</v>
      </c>
      <c r="B2" t="b">
        <f>ISNUMBER(A2)</f>
        <v>1</v>
      </c>
      <c r="C2">
        <v>99</v>
      </c>
      <c r="E2">
        <f>A2 *C2</f>
        <v>198</v>
      </c>
      <c r="F2" t="b">
        <f>ISNUMBER(E2)</f>
        <v>1</v>
      </c>
    </row>
    <row r="3" spans="1:6" x14ac:dyDescent="0.25">
      <c r="A3">
        <v>1</v>
      </c>
      <c r="B3" t="b">
        <f>ISNUMBER(A3)</f>
        <v>1</v>
      </c>
    </row>
    <row r="4" spans="1:6" ht="10.95" customHeight="1" x14ac:dyDescent="0.25">
      <c r="C4" t="e" cm="1" vm="1">
        <f t="array" aca="1" ref="C4" ca="1">IF(ISERR(FIND("FALSE",B:B)),"YES","NO")</f>
        <v>#VALUE!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Inputs - Outputs</vt:lpstr>
      <vt:lpstr>Properties settings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Lee</dc:creator>
  <cp:lastModifiedBy>Richard Lee</cp:lastModifiedBy>
  <dcterms:created xsi:type="dcterms:W3CDTF">2020-11-05T09:41:00Z</dcterms:created>
  <dcterms:modified xsi:type="dcterms:W3CDTF">2021-01-19T12:16:13Z</dcterms:modified>
</cp:coreProperties>
</file>