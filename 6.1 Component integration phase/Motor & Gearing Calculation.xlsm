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49413\Dropbox\MECHATRONICS PROJECT 1\2. Research Report\6. Integration\6.1 Component integration phase\"/>
    </mc:Choice>
  </mc:AlternateContent>
  <xr:revisionPtr revIDLastSave="0" documentId="13_ncr:1_{EECCCF18-D624-43D1-989B-D1AC283410DE}" xr6:coauthVersionLast="45" xr6:coauthVersionMax="45" xr10:uidLastSave="{00000000-0000-0000-0000-000000000000}"/>
  <bookViews>
    <workbookView xWindow="-108" yWindow="-108" windowWidth="23256" windowHeight="12576" activeTab="2" xr2:uid="{5F495A50-6A9F-468F-88FE-9BF9F3A644C2}"/>
  </bookViews>
  <sheets>
    <sheet name=" Realistic calculation" sheetId="1" r:id="rId1"/>
    <sheet name="Theoretical calculation" sheetId="4" r:id="rId2"/>
    <sheet name="Data" sheetId="3" r:id="rId3"/>
    <sheet name="Sheet1" sheetId="5" r:id="rId4"/>
  </sheets>
  <functionGroups builtInGroupCount="19"/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4" l="1"/>
  <c r="G7" i="4"/>
  <c r="D39" i="4" s="1"/>
  <c r="F7" i="4"/>
  <c r="D49" i="4" s="1"/>
  <c r="D5" i="1" a="1"/>
  <c r="D2" i="1" a="1"/>
  <c r="D6" i="1" a="1"/>
  <c r="D3" i="1" a="1"/>
  <c r="F1" i="4" a="1"/>
  <c r="F1" i="4" l="1"/>
  <c r="D6" i="1"/>
  <c r="D5" i="1"/>
  <c r="D3" i="1"/>
  <c r="D2" i="1"/>
  <c r="D70" i="4"/>
  <c r="D73" i="4"/>
  <c r="D76" i="4" s="1"/>
  <c r="D36" i="4"/>
  <c r="D25" i="4" s="1"/>
  <c r="D17" i="4" s="1"/>
  <c r="O34" i="3"/>
  <c r="N34" i="3"/>
  <c r="M34" i="3"/>
  <c r="K34" i="3"/>
  <c r="L34" i="3" s="1"/>
  <c r="J34" i="3"/>
  <c r="I34" i="3"/>
  <c r="H34" i="3"/>
  <c r="G34" i="3"/>
  <c r="F34" i="3"/>
  <c r="E34" i="3"/>
  <c r="D34" i="3"/>
  <c r="C34" i="3"/>
  <c r="B34" i="3"/>
  <c r="P34" i="3" s="1"/>
  <c r="A34" i="3"/>
  <c r="O33" i="3"/>
  <c r="N33" i="3"/>
  <c r="M33" i="3"/>
  <c r="K33" i="3"/>
  <c r="L33" i="3" s="1"/>
  <c r="J33" i="3"/>
  <c r="I33" i="3"/>
  <c r="H33" i="3"/>
  <c r="G33" i="3"/>
  <c r="F33" i="3"/>
  <c r="E33" i="3"/>
  <c r="D33" i="3"/>
  <c r="C33" i="3"/>
  <c r="B33" i="3"/>
  <c r="P33" i="3" s="1"/>
  <c r="A33" i="3"/>
  <c r="O32" i="3"/>
  <c r="N32" i="3"/>
  <c r="M32" i="3"/>
  <c r="K32" i="3"/>
  <c r="L32" i="3" s="1"/>
  <c r="J32" i="3"/>
  <c r="I32" i="3"/>
  <c r="H32" i="3"/>
  <c r="G32" i="3"/>
  <c r="F32" i="3"/>
  <c r="E32" i="3"/>
  <c r="D32" i="3"/>
  <c r="C32" i="3"/>
  <c r="B32" i="3"/>
  <c r="P32" i="3" s="1"/>
  <c r="A32" i="3"/>
  <c r="O31" i="3"/>
  <c r="N31" i="3"/>
  <c r="M31" i="3"/>
  <c r="K31" i="3"/>
  <c r="L31" i="3" s="1"/>
  <c r="J31" i="3"/>
  <c r="I31" i="3"/>
  <c r="H31" i="3"/>
  <c r="G31" i="3"/>
  <c r="F31" i="3"/>
  <c r="E31" i="3"/>
  <c r="D31" i="3"/>
  <c r="C31" i="3"/>
  <c r="B31" i="3"/>
  <c r="P31" i="3" s="1"/>
  <c r="A31" i="3"/>
  <c r="O30" i="3"/>
  <c r="N30" i="3"/>
  <c r="M30" i="3"/>
  <c r="K30" i="3"/>
  <c r="L30" i="3" s="1"/>
  <c r="J30" i="3"/>
  <c r="I30" i="3"/>
  <c r="H30" i="3"/>
  <c r="G30" i="3"/>
  <c r="F30" i="3"/>
  <c r="E30" i="3"/>
  <c r="D30" i="3"/>
  <c r="C30" i="3"/>
  <c r="B30" i="3"/>
  <c r="P30" i="3" s="1"/>
  <c r="A30" i="3"/>
  <c r="O29" i="3"/>
  <c r="N29" i="3"/>
  <c r="M29" i="3"/>
  <c r="K29" i="3"/>
  <c r="L29" i="3" s="1"/>
  <c r="J29" i="3"/>
  <c r="I29" i="3"/>
  <c r="H29" i="3"/>
  <c r="G29" i="3"/>
  <c r="F29" i="3"/>
  <c r="E29" i="3"/>
  <c r="D29" i="3"/>
  <c r="C29" i="3"/>
  <c r="B29" i="3"/>
  <c r="P29" i="3" s="1"/>
  <c r="A29" i="3"/>
  <c r="O28" i="3"/>
  <c r="N28" i="3"/>
  <c r="M28" i="3"/>
  <c r="K28" i="3"/>
  <c r="L28" i="3" s="1"/>
  <c r="J28" i="3"/>
  <c r="I28" i="3"/>
  <c r="H28" i="3"/>
  <c r="G28" i="3"/>
  <c r="F28" i="3"/>
  <c r="E28" i="3"/>
  <c r="D28" i="3"/>
  <c r="C28" i="3"/>
  <c r="B28" i="3"/>
  <c r="P28" i="3" s="1"/>
  <c r="A28" i="3"/>
  <c r="O27" i="3"/>
  <c r="N27" i="3"/>
  <c r="M27" i="3"/>
  <c r="K27" i="3"/>
  <c r="L27" i="3" s="1"/>
  <c r="J27" i="3"/>
  <c r="I27" i="3"/>
  <c r="H27" i="3"/>
  <c r="G27" i="3"/>
  <c r="F27" i="3"/>
  <c r="E27" i="3"/>
  <c r="D27" i="3"/>
  <c r="C27" i="3"/>
  <c r="B27" i="3"/>
  <c r="P27" i="3" s="1"/>
  <c r="A27" i="3"/>
  <c r="O26" i="3"/>
  <c r="N26" i="3"/>
  <c r="M26" i="3"/>
  <c r="K26" i="3"/>
  <c r="L26" i="3" s="1"/>
  <c r="J26" i="3"/>
  <c r="I26" i="3"/>
  <c r="H26" i="3"/>
  <c r="G26" i="3"/>
  <c r="F26" i="3"/>
  <c r="E26" i="3"/>
  <c r="D26" i="3"/>
  <c r="C26" i="3"/>
  <c r="B26" i="3"/>
  <c r="P26" i="3" s="1"/>
  <c r="A26" i="3"/>
  <c r="O25" i="3"/>
  <c r="N25" i="3"/>
  <c r="M25" i="3"/>
  <c r="K25" i="3"/>
  <c r="L25" i="3" s="1"/>
  <c r="J25" i="3"/>
  <c r="I25" i="3"/>
  <c r="H25" i="3"/>
  <c r="G25" i="3"/>
  <c r="F25" i="3"/>
  <c r="E25" i="3"/>
  <c r="D25" i="3"/>
  <c r="C25" i="3"/>
  <c r="B25" i="3"/>
  <c r="P25" i="3" s="1"/>
  <c r="A25" i="3"/>
  <c r="O24" i="3"/>
  <c r="N24" i="3"/>
  <c r="M24" i="3"/>
  <c r="K24" i="3"/>
  <c r="L24" i="3" s="1"/>
  <c r="J24" i="3"/>
  <c r="I24" i="3"/>
  <c r="H24" i="3"/>
  <c r="G24" i="3"/>
  <c r="F24" i="3"/>
  <c r="E24" i="3"/>
  <c r="D24" i="3"/>
  <c r="C24" i="3"/>
  <c r="B24" i="3"/>
  <c r="P24" i="3" s="1"/>
  <c r="A24" i="3"/>
  <c r="O23" i="3"/>
  <c r="N23" i="3"/>
  <c r="M23" i="3"/>
  <c r="K23" i="3"/>
  <c r="L23" i="3" s="1"/>
  <c r="J23" i="3"/>
  <c r="I23" i="3"/>
  <c r="H23" i="3"/>
  <c r="G23" i="3"/>
  <c r="F23" i="3"/>
  <c r="E23" i="3"/>
  <c r="D23" i="3"/>
  <c r="C23" i="3"/>
  <c r="B23" i="3"/>
  <c r="P23" i="3" s="1"/>
  <c r="A23" i="3"/>
  <c r="O22" i="3"/>
  <c r="N22" i="3"/>
  <c r="M22" i="3"/>
  <c r="K22" i="3"/>
  <c r="L22" i="3" s="1"/>
  <c r="J22" i="3"/>
  <c r="I22" i="3"/>
  <c r="H22" i="3"/>
  <c r="G22" i="3"/>
  <c r="F22" i="3"/>
  <c r="E22" i="3"/>
  <c r="D22" i="3"/>
  <c r="C22" i="3"/>
  <c r="B22" i="3"/>
  <c r="P22" i="3" s="1"/>
  <c r="A22" i="3"/>
  <c r="O21" i="3"/>
  <c r="N21" i="3"/>
  <c r="M21" i="3"/>
  <c r="K21" i="3"/>
  <c r="L21" i="3" s="1"/>
  <c r="J21" i="3"/>
  <c r="I21" i="3"/>
  <c r="H21" i="3"/>
  <c r="G21" i="3"/>
  <c r="F21" i="3"/>
  <c r="E21" i="3"/>
  <c r="D21" i="3"/>
  <c r="C21" i="3"/>
  <c r="B21" i="3"/>
  <c r="P21" i="3" s="1"/>
  <c r="A21" i="3"/>
  <c r="O20" i="3"/>
  <c r="N20" i="3"/>
  <c r="M20" i="3"/>
  <c r="K20" i="3"/>
  <c r="L20" i="3" s="1"/>
  <c r="J20" i="3"/>
  <c r="I20" i="3"/>
  <c r="H20" i="3"/>
  <c r="G20" i="3"/>
  <c r="F20" i="3"/>
  <c r="E20" i="3"/>
  <c r="D20" i="3"/>
  <c r="C20" i="3"/>
  <c r="B20" i="3"/>
  <c r="P20" i="3" s="1"/>
  <c r="A20" i="3"/>
  <c r="O19" i="3"/>
  <c r="N19" i="3"/>
  <c r="M19" i="3"/>
  <c r="K19" i="3"/>
  <c r="L19" i="3" s="1"/>
  <c r="J19" i="3"/>
  <c r="I19" i="3"/>
  <c r="H19" i="3"/>
  <c r="G19" i="3"/>
  <c r="F19" i="3"/>
  <c r="E19" i="3"/>
  <c r="D19" i="3"/>
  <c r="C19" i="3"/>
  <c r="B19" i="3"/>
  <c r="P19" i="3" s="1"/>
  <c r="A19" i="3"/>
  <c r="O18" i="3"/>
  <c r="N18" i="3"/>
  <c r="M18" i="3"/>
  <c r="K18" i="3"/>
  <c r="L18" i="3" s="1"/>
  <c r="J18" i="3"/>
  <c r="I18" i="3"/>
  <c r="H18" i="3"/>
  <c r="G18" i="3"/>
  <c r="F18" i="3"/>
  <c r="E18" i="3"/>
  <c r="D18" i="3"/>
  <c r="C18" i="3"/>
  <c r="B18" i="3"/>
  <c r="P18" i="3" s="1"/>
  <c r="A18" i="3"/>
  <c r="O17" i="3"/>
  <c r="N17" i="3"/>
  <c r="M17" i="3"/>
  <c r="K17" i="3"/>
  <c r="L17" i="3" s="1"/>
  <c r="J17" i="3"/>
  <c r="I17" i="3"/>
  <c r="H17" i="3"/>
  <c r="G17" i="3"/>
  <c r="F17" i="3"/>
  <c r="E17" i="3"/>
  <c r="D17" i="3"/>
  <c r="C17" i="3"/>
  <c r="B17" i="3"/>
  <c r="P17" i="3" s="1"/>
  <c r="A17" i="3"/>
  <c r="O16" i="3"/>
  <c r="N16" i="3"/>
  <c r="M16" i="3"/>
  <c r="K16" i="3"/>
  <c r="L16" i="3" s="1"/>
  <c r="J16" i="3"/>
  <c r="I16" i="3"/>
  <c r="H16" i="3"/>
  <c r="G16" i="3"/>
  <c r="F16" i="3"/>
  <c r="E16" i="3"/>
  <c r="D16" i="3"/>
  <c r="C16" i="3"/>
  <c r="B16" i="3"/>
  <c r="P16" i="3" s="1"/>
  <c r="A16" i="3"/>
  <c r="O15" i="3"/>
  <c r="N15" i="3"/>
  <c r="M15" i="3"/>
  <c r="K15" i="3"/>
  <c r="L15" i="3" s="1"/>
  <c r="J15" i="3"/>
  <c r="I15" i="3"/>
  <c r="H15" i="3"/>
  <c r="G15" i="3"/>
  <c r="F15" i="3"/>
  <c r="E15" i="3"/>
  <c r="D15" i="3"/>
  <c r="C15" i="3"/>
  <c r="B15" i="3"/>
  <c r="P15" i="3" s="1"/>
  <c r="A15" i="3"/>
  <c r="O14" i="3"/>
  <c r="N14" i="3"/>
  <c r="M14" i="3"/>
  <c r="K14" i="3"/>
  <c r="L14" i="3" s="1"/>
  <c r="J14" i="3"/>
  <c r="I14" i="3"/>
  <c r="H14" i="3"/>
  <c r="G14" i="3"/>
  <c r="F14" i="3"/>
  <c r="E14" i="3"/>
  <c r="D14" i="3"/>
  <c r="C14" i="3"/>
  <c r="B14" i="3"/>
  <c r="P14" i="3" s="1"/>
  <c r="A14" i="3"/>
  <c r="O13" i="3"/>
  <c r="N13" i="3"/>
  <c r="M13" i="3"/>
  <c r="K13" i="3"/>
  <c r="L13" i="3" s="1"/>
  <c r="J13" i="3"/>
  <c r="I13" i="3"/>
  <c r="H13" i="3"/>
  <c r="G13" i="3"/>
  <c r="F13" i="3"/>
  <c r="E13" i="3"/>
  <c r="D13" i="3"/>
  <c r="C13" i="3"/>
  <c r="B13" i="3"/>
  <c r="P13" i="3" s="1"/>
  <c r="A13" i="3"/>
  <c r="O12" i="3"/>
  <c r="N12" i="3"/>
  <c r="M12" i="3"/>
  <c r="K12" i="3"/>
  <c r="L12" i="3" s="1"/>
  <c r="J12" i="3"/>
  <c r="I12" i="3"/>
  <c r="H12" i="3"/>
  <c r="G12" i="3"/>
  <c r="F12" i="3"/>
  <c r="E12" i="3"/>
  <c r="D12" i="3"/>
  <c r="C12" i="3"/>
  <c r="B12" i="3"/>
  <c r="P12" i="3" s="1"/>
  <c r="A12" i="3"/>
  <c r="O11" i="3"/>
  <c r="N11" i="3"/>
  <c r="M11" i="3"/>
  <c r="K11" i="3"/>
  <c r="L11" i="3" s="1"/>
  <c r="J11" i="3"/>
  <c r="I11" i="3"/>
  <c r="H11" i="3"/>
  <c r="G11" i="3"/>
  <c r="F11" i="3"/>
  <c r="E11" i="3"/>
  <c r="D11" i="3"/>
  <c r="C11" i="3"/>
  <c r="B11" i="3"/>
  <c r="P11" i="3" s="1"/>
  <c r="A11" i="3"/>
  <c r="O10" i="3"/>
  <c r="N10" i="3"/>
  <c r="M10" i="3"/>
  <c r="K10" i="3"/>
  <c r="L10" i="3" s="1"/>
  <c r="J10" i="3"/>
  <c r="I10" i="3"/>
  <c r="H10" i="3"/>
  <c r="G10" i="3"/>
  <c r="F10" i="3"/>
  <c r="E10" i="3"/>
  <c r="D10" i="3"/>
  <c r="C10" i="3"/>
  <c r="B10" i="3"/>
  <c r="P10" i="3" s="1"/>
  <c r="A10" i="3"/>
  <c r="O9" i="3"/>
  <c r="N9" i="3"/>
  <c r="M9" i="3"/>
  <c r="K9" i="3"/>
  <c r="L9" i="3" s="1"/>
  <c r="J9" i="3"/>
  <c r="I9" i="3"/>
  <c r="H9" i="3"/>
  <c r="G9" i="3"/>
  <c r="F9" i="3"/>
  <c r="E9" i="3"/>
  <c r="D9" i="3"/>
  <c r="C9" i="3"/>
  <c r="B9" i="3"/>
  <c r="P9" i="3" s="1"/>
  <c r="A9" i="3"/>
  <c r="O8" i="3"/>
  <c r="N8" i="3"/>
  <c r="M8" i="3"/>
  <c r="K8" i="3"/>
  <c r="L8" i="3" s="1"/>
  <c r="J8" i="3"/>
  <c r="I8" i="3"/>
  <c r="H8" i="3"/>
  <c r="G8" i="3"/>
  <c r="F8" i="3"/>
  <c r="E8" i="3"/>
  <c r="D8" i="3"/>
  <c r="C8" i="3"/>
  <c r="B8" i="3"/>
  <c r="P8" i="3" s="1"/>
  <c r="A8" i="3"/>
  <c r="O7" i="3"/>
  <c r="N7" i="3"/>
  <c r="M7" i="3"/>
  <c r="K7" i="3"/>
  <c r="L7" i="3" s="1"/>
  <c r="J7" i="3"/>
  <c r="I7" i="3"/>
  <c r="H7" i="3"/>
  <c r="G7" i="3"/>
  <c r="F7" i="3"/>
  <c r="E7" i="3"/>
  <c r="D7" i="3"/>
  <c r="C7" i="3"/>
  <c r="B7" i="3"/>
  <c r="P7" i="3" s="1"/>
  <c r="A7" i="3"/>
  <c r="O6" i="3"/>
  <c r="N6" i="3"/>
  <c r="M6" i="3"/>
  <c r="K6" i="3"/>
  <c r="L6" i="3" s="1"/>
  <c r="J6" i="3"/>
  <c r="I6" i="3"/>
  <c r="H6" i="3"/>
  <c r="G6" i="3"/>
  <c r="F6" i="3"/>
  <c r="E6" i="3"/>
  <c r="D6" i="3"/>
  <c r="C6" i="3"/>
  <c r="B6" i="3"/>
  <c r="P6" i="3" s="1"/>
  <c r="A6" i="3"/>
  <c r="O5" i="3"/>
  <c r="N5" i="3"/>
  <c r="M5" i="3"/>
  <c r="K5" i="3"/>
  <c r="L5" i="3" s="1"/>
  <c r="J5" i="3"/>
  <c r="I5" i="3"/>
  <c r="H5" i="3"/>
  <c r="G5" i="3"/>
  <c r="F5" i="3"/>
  <c r="E5" i="3"/>
  <c r="D5" i="3"/>
  <c r="C5" i="3"/>
  <c r="B5" i="3"/>
  <c r="P5" i="3" s="1"/>
  <c r="A5" i="3"/>
  <c r="O4" i="3"/>
  <c r="N4" i="3"/>
  <c r="M4" i="3"/>
  <c r="K4" i="3"/>
  <c r="L4" i="3" s="1"/>
  <c r="J4" i="3"/>
  <c r="I4" i="3"/>
  <c r="H4" i="3"/>
  <c r="G4" i="3"/>
  <c r="F4" i="3"/>
  <c r="E4" i="3"/>
  <c r="D4" i="3"/>
  <c r="C4" i="3"/>
  <c r="B4" i="3"/>
  <c r="P4" i="3" s="1"/>
  <c r="A4" i="3"/>
  <c r="O3" i="3"/>
  <c r="N3" i="3"/>
  <c r="M3" i="3"/>
  <c r="K3" i="3"/>
  <c r="L3" i="3" s="1"/>
  <c r="J3" i="3"/>
  <c r="I3" i="3"/>
  <c r="H3" i="3"/>
  <c r="G3" i="3"/>
  <c r="F3" i="3"/>
  <c r="E3" i="3"/>
  <c r="D3" i="3"/>
  <c r="C3" i="3"/>
  <c r="B3" i="3"/>
  <c r="P3" i="3" s="1"/>
  <c r="A3" i="3"/>
  <c r="P2" i="3"/>
  <c r="O2" i="3"/>
  <c r="N2" i="3"/>
  <c r="M2" i="3"/>
  <c r="K2" i="3"/>
  <c r="L2" i="3" s="1"/>
  <c r="J2" i="3"/>
  <c r="I2" i="3"/>
  <c r="H2" i="3"/>
  <c r="G2" i="3"/>
  <c r="F2" i="3"/>
  <c r="E2" i="3"/>
  <c r="D2" i="3"/>
  <c r="H2" i="1" a="1"/>
  <c r="D7" i="1" a="1"/>
  <c r="D4" i="1" a="1"/>
  <c r="H2" i="1" l="1"/>
  <c r="H3" i="1"/>
  <c r="D4" i="1"/>
  <c r="D7" i="1"/>
  <c r="F8" i="4"/>
  <c r="F9" i="4" s="1"/>
  <c r="J7" i="4" s="1"/>
  <c r="H4" i="1" a="1"/>
  <c r="H4" i="1" l="1"/>
  <c r="I9" i="4"/>
  <c r="I7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<sst xmlns="http://schemas.openxmlformats.org/spreadsheetml/2006/main" count="62" uniqueCount="59">
  <si>
    <t>Torque</t>
  </si>
  <si>
    <t>Velocity（km/h）</t>
  </si>
  <si>
    <t>Motor output Torque（Nm）</t>
  </si>
  <si>
    <t>Rotation speed（Rpm）</t>
  </si>
  <si>
    <t>Motor output power（w）</t>
  </si>
  <si>
    <t>Vessel</t>
  </si>
  <si>
    <t>Propeller</t>
  </si>
  <si>
    <t>Gearbox</t>
  </si>
  <si>
    <t>Motor</t>
  </si>
  <si>
    <t>Speed</t>
  </si>
  <si>
    <t>Voltage input（V）</t>
  </si>
  <si>
    <t>Current input（A）</t>
  </si>
  <si>
    <t>Gearing power loss（W）</t>
  </si>
  <si>
    <t>Torque（Nm）</t>
  </si>
  <si>
    <t>Feedback value from propeller to gearing</t>
  </si>
  <si>
    <t>Feedback value from gearing to motor</t>
  </si>
  <si>
    <t>Motor input:</t>
  </si>
  <si>
    <t>Current torque relation coefficient:</t>
  </si>
  <si>
    <t>Gearing calculation formula:</t>
  </si>
  <si>
    <t>Gear ratio</t>
  </si>
  <si>
    <t>cosα</t>
    <phoneticPr fontId="5" type="noConversion"/>
  </si>
  <si>
    <t>Pvzp [W]</t>
    <phoneticPr fontId="5" type="noConversion"/>
  </si>
  <si>
    <t>FR [N]</t>
    <phoneticPr fontId="5" type="noConversion"/>
  </si>
  <si>
    <t>Fn [N]</t>
    <phoneticPr fontId="5" type="noConversion"/>
  </si>
  <si>
    <t>Ft [N]</t>
    <phoneticPr fontId="5" type="noConversion"/>
  </si>
  <si>
    <t>Vrel [m/s]</t>
    <phoneticPr fontId="5" type="noConversion"/>
  </si>
  <si>
    <t>Rotation speed [rpm]</t>
    <phoneticPr fontId="5" type="noConversion"/>
  </si>
  <si>
    <t>Torque [Nm]</t>
    <phoneticPr fontId="5" type="noConversion"/>
  </si>
  <si>
    <t>Voltage [V]</t>
    <phoneticPr fontId="5" type="noConversion"/>
  </si>
  <si>
    <t>Current [A]</t>
    <phoneticPr fontId="5" type="noConversion"/>
  </si>
  <si>
    <t>Motor input power [W]:</t>
    <phoneticPr fontId="5" type="noConversion"/>
  </si>
  <si>
    <t>Motor output power [W]:</t>
    <phoneticPr fontId="5" type="noConversion"/>
  </si>
  <si>
    <t>Turque  [Nm]</t>
    <phoneticPr fontId="5" type="noConversion"/>
  </si>
  <si>
    <t>Re</t>
    <phoneticPr fontId="5" type="noConversion"/>
  </si>
  <si>
    <t>Fr</t>
    <phoneticPr fontId="5" type="noConversion"/>
  </si>
  <si>
    <t>Ploss [W]</t>
    <phoneticPr fontId="5" type="noConversion"/>
  </si>
  <si>
    <t>Formula 1</t>
    <phoneticPr fontId="5" type="noConversion"/>
  </si>
  <si>
    <t>Formula 2</t>
    <phoneticPr fontId="5" type="noConversion"/>
  </si>
  <si>
    <t>Formula 3</t>
    <phoneticPr fontId="5" type="noConversion"/>
  </si>
  <si>
    <t>Formula 4</t>
    <phoneticPr fontId="5" type="noConversion"/>
  </si>
  <si>
    <t>Total power loss</t>
    <phoneticPr fontId="5" type="noConversion"/>
  </si>
  <si>
    <r>
      <rPr>
        <b/>
        <sz val="14"/>
        <color theme="0"/>
        <rFont val="Calibri"/>
        <family val="2"/>
        <scheme val="minor"/>
      </rPr>
      <t>Motor efficiency</t>
    </r>
    <r>
      <rPr>
        <sz val="12"/>
        <color theme="1"/>
        <rFont val="Calibri"/>
        <family val="2"/>
        <scheme val="minor"/>
      </rPr>
      <t>:</t>
    </r>
    <phoneticPr fontId="5" type="noConversion"/>
  </si>
  <si>
    <t>Motor Input power（w）</t>
  </si>
  <si>
    <t>Output values(input values for gearing system)</t>
  </si>
  <si>
    <t>User values(gearing system)</t>
  </si>
  <si>
    <t>Input value(motor system)</t>
  </si>
  <si>
    <t xml:space="preserve">Gearing system output value </t>
  </si>
  <si>
    <t>Gear friction coefficient(-)</t>
  </si>
  <si>
    <t>Gear transmission ratio（-）</t>
  </si>
  <si>
    <t>Gear index circle pressure angle(deg)</t>
  </si>
  <si>
    <t>Gear index circle diameter of driving wheel(m)</t>
  </si>
  <si>
    <t>Gear addendum radius（m）</t>
  </si>
  <si>
    <t>Gear dedendum radius（m）</t>
  </si>
  <si>
    <t>Gear tooth number(-)</t>
  </si>
  <si>
    <t>Gear tooth width ratio(-)</t>
  </si>
  <si>
    <t>Gear modulus(-)</t>
  </si>
  <si>
    <t>Gear immersion depth ratio(-)</t>
  </si>
  <si>
    <t xml:space="preserve">Gear lubricant viscosity (-)                                          </t>
  </si>
  <si>
    <t>Gear lubricant density(-)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</si>
</sst>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7">
    <font>
      <sz val="11"/>
      <color theme="1"/>
      <name val="Calibri"/>
      <family val="2"/>
      <charset val="134"/>
      <scheme val="minor"/>
    </font>
    <font>
      <sz val="11"/>
      <color theme="1"/>
      <name val="等线"/>
      <family val="3"/>
      <charset val="134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name val="Calibri"/>
      <family val="2"/>
      <charset val="134"/>
      <scheme val="minor"/>
    </font>
    <font>
      <sz val="11"/>
      <color theme="1"/>
      <name val="等线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2" fillId="4" borderId="0" xfId="0" applyFont="1" applyFill="1"/>
    <xf numFmtId="0" fontId="2" fillId="0" borderId="0" xfId="0" applyFont="1" applyAlignment="1">
      <alignment wrapText="1"/>
    </xf>
    <xf numFmtId="0" fontId="0" fillId="6" borderId="0" xfId="0" applyFill="1"/>
    <xf numFmtId="0" fontId="0" fillId="7" borderId="0" xfId="0" applyFill="1"/>
    <xf numFmtId="0" fontId="3" fillId="8" borderId="0" xfId="0" applyFont="1" applyFill="1"/>
    <xf numFmtId="0" fontId="4" fillId="8" borderId="0" xfId="0" applyFon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1" fillId="0" borderId="0" xfId="0" applyNumberFormat="1" applyFont="1"/>
    <xf numFmtId="0" fontId="6" fillId="0" borderId="0" xfId="0" applyFont="1" applyAlignment="1">
      <alignment horizontal="center"/>
    </xf>
    <xf numFmtId="0" fontId="1" fillId="13" borderId="0" xfId="0" applyFont="1" applyFill="1"/>
    <xf numFmtId="0" fontId="0" fillId="6" borderId="2" xfId="0" applyFill="1" applyBorder="1"/>
    <xf numFmtId="0" fontId="0" fillId="0" borderId="2" xfId="0" applyBorder="1"/>
    <xf numFmtId="0" fontId="0" fillId="10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V-N curve of solar boat</a:t>
            </a:r>
            <a:r>
              <a:rPr lang="en-US" altLang="zh-CN" baseline="0"/>
              <a:t> DC motor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555324140000131E-2"/>
          <c:y val="0.20005741129692645"/>
          <c:w val="0.86567761880640304"/>
          <c:h val="0.7134446478748838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9.7464016975622486E-2"/>
                  <c:y val="-0.11454065532606227"/>
                </c:manualLayout>
              </c:layout>
              <c:numFmt formatCode="#,##0.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[1]Curves!$B$4:$B$34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[1]Curves!$H$4:$H$34</c:f>
              <c:numCache>
                <c:formatCode>General</c:formatCode>
                <c:ptCount val="31"/>
                <c:pt idx="0">
                  <c:v>0</c:v>
                </c:pt>
                <c:pt idx="1">
                  <c:v>352.89494679133281</c:v>
                </c:pt>
                <c:pt idx="2">
                  <c:v>511.57623828428973</c:v>
                </c:pt>
                <c:pt idx="3">
                  <c:v>656.60890096918627</c:v>
                </c:pt>
                <c:pt idx="4">
                  <c:v>778.36421294846264</c:v>
                </c:pt>
                <c:pt idx="5">
                  <c:v>900.34481909348528</c:v>
                </c:pt>
                <c:pt idx="6">
                  <c:v>1013.9310040307615</c:v>
                </c:pt>
                <c:pt idx="7">
                  <c:v>1120.9728644627462</c:v>
                </c:pt>
                <c:pt idx="8">
                  <c:v>1225.5600892670348</c:v>
                </c:pt>
                <c:pt idx="9">
                  <c:v>1329.8422823906644</c:v>
                </c:pt>
                <c:pt idx="10">
                  <c:v>1430.7852795469107</c:v>
                </c:pt>
                <c:pt idx="11">
                  <c:v>1529.0381263693205</c:v>
                </c:pt>
                <c:pt idx="12">
                  <c:v>1626.0489337588688</c:v>
                </c:pt>
                <c:pt idx="13">
                  <c:v>1767.0776180074547</c:v>
                </c:pt>
                <c:pt idx="14">
                  <c:v>1901.5364491807834</c:v>
                </c:pt>
                <c:pt idx="15">
                  <c:v>2021.1887730409928</c:v>
                </c:pt>
                <c:pt idx="16">
                  <c:v>2137.5088289869886</c:v>
                </c:pt>
                <c:pt idx="17">
                  <c:v>2253.0708912377795</c:v>
                </c:pt>
                <c:pt idx="18">
                  <c:v>2365.9435964817803</c:v>
                </c:pt>
                <c:pt idx="19">
                  <c:v>2481.8861317106689</c:v>
                </c:pt>
                <c:pt idx="20">
                  <c:v>2595.5614813290467</c:v>
                </c:pt>
                <c:pt idx="21">
                  <c:v>2713.9050919047345</c:v>
                </c:pt>
                <c:pt idx="22">
                  <c:v>2831.9782965750401</c:v>
                </c:pt>
                <c:pt idx="23">
                  <c:v>2952.3518605628501</c:v>
                </c:pt>
                <c:pt idx="24">
                  <c:v>3071.0086173698946</c:v>
                </c:pt>
                <c:pt idx="25">
                  <c:v>3170.1741973763924</c:v>
                </c:pt>
                <c:pt idx="26">
                  <c:v>3268.8052802134698</c:v>
                </c:pt>
                <c:pt idx="27">
                  <c:v>3366.968602693451</c:v>
                </c:pt>
                <c:pt idx="28">
                  <c:v>3464.7037710468676</c:v>
                </c:pt>
                <c:pt idx="29">
                  <c:v>3562.0460428527786</c:v>
                </c:pt>
                <c:pt idx="30">
                  <c:v>3659.026907930659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E3-4F63-9323-1E1B95DF4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159440"/>
        <c:axId val="527160080"/>
      </c:scatterChart>
      <c:valAx>
        <c:axId val="52715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Km/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160080"/>
        <c:crosses val="autoZero"/>
        <c:crossBetween val="midCat"/>
      </c:valAx>
      <c:valAx>
        <c:axId val="52716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#&quot;rpm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15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V-E curve </a:t>
            </a:r>
            <a:r>
              <a:rPr lang="en-US" sz="1400" b="0" i="0" u="none" strike="noStrike" baseline="0">
                <a:effectLst/>
              </a:rPr>
              <a:t>of solar boat DC motor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7.8595862491388599E-2"/>
                  <c:y val="-1.1780694107221337E-2"/>
                </c:manualLayout>
              </c:layout>
              <c:numFmt formatCode="#,##0.000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[1]Curves!$B$4:$B$34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[1]Curves!$O$4:$O$34</c:f>
              <c:numCache>
                <c:formatCode>General</c:formatCode>
                <c:ptCount val="31"/>
                <c:pt idx="0">
                  <c:v>0</c:v>
                </c:pt>
                <c:pt idx="1">
                  <c:v>8.2463231157570718</c:v>
                </c:pt>
                <c:pt idx="2">
                  <c:v>11.954330878334346</c:v>
                </c:pt>
                <c:pt idx="3">
                  <c:v>15.343402356157034</c:v>
                </c:pt>
                <c:pt idx="4">
                  <c:v>18.188537013850521</c:v>
                </c:pt>
                <c:pt idx="5">
                  <c:v>21.038936265168061</c:v>
                </c:pt>
                <c:pt idx="6">
                  <c:v>23.693177678924474</c:v>
                </c:pt>
                <c:pt idx="7">
                  <c:v>25.585319383257197</c:v>
                </c:pt>
                <c:pt idx="8">
                  <c:v>27.972440102105942</c:v>
                </c:pt>
                <c:pt idx="9">
                  <c:v>30.352598714003573</c:v>
                </c:pt>
                <c:pt idx="10">
                  <c:v>32.656542817934749</c:v>
                </c:pt>
                <c:pt idx="11">
                  <c:v>34.899086367345667</c:v>
                </c:pt>
                <c:pt idx="12">
                  <c:v>37.113281348665595</c:v>
                </c:pt>
                <c:pt idx="13">
                  <c:v>40.332149568486379</c:v>
                </c:pt>
                <c:pt idx="14">
                  <c:v>43.401066086031044</c:v>
                </c:pt>
                <c:pt idx="15">
                  <c:v>45.083580421627836</c:v>
                </c:pt>
                <c:pt idx="16">
                  <c:v>47.678154796291246</c:v>
                </c:pt>
                <c:pt idx="17">
                  <c:v>50.255821759745658</c:v>
                </c:pt>
                <c:pt idx="18">
                  <c:v>52.77350133136644</c:v>
                </c:pt>
                <c:pt idx="19">
                  <c:v>55.359654926220685</c:v>
                </c:pt>
                <c:pt idx="20">
                  <c:v>57.895237863763988</c:v>
                </c:pt>
                <c:pt idx="21">
                  <c:v>60.534948590410998</c:v>
                </c:pt>
                <c:pt idx="22">
                  <c:v>63.168627784256934</c:v>
                </c:pt>
                <c:pt idx="23">
                  <c:v>65.853617590784168</c:v>
                </c:pt>
                <c:pt idx="24">
                  <c:v>68.500313193605749</c:v>
                </c:pt>
                <c:pt idx="25">
                  <c:v>70.712248793541747</c:v>
                </c:pt>
                <c:pt idx="26">
                  <c:v>72.912262178965122</c:v>
                </c:pt>
                <c:pt idx="27">
                  <c:v>75.101841946332371</c:v>
                </c:pt>
                <c:pt idx="28">
                  <c:v>77.281871531522029</c:v>
                </c:pt>
                <c:pt idx="29">
                  <c:v>79.45313737166569</c:v>
                </c:pt>
                <c:pt idx="30">
                  <c:v>81.616341862218732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28-43BA-8F7C-922AD736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7128272"/>
        <c:axId val="697129232"/>
      </c:scatterChart>
      <c:valAx>
        <c:axId val="69712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Km/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29232"/>
        <c:crosses val="autoZero"/>
        <c:crossBetween val="midCat"/>
      </c:valAx>
      <c:valAx>
        <c:axId val="69712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V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2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V-T curve </a:t>
            </a:r>
            <a:r>
              <a:rPr lang="en-US" sz="1400" b="0" i="0" u="none" strike="noStrike" baseline="0">
                <a:effectLst/>
              </a:rPr>
              <a:t>of solar boat DC motor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xVal>
            <c:numRef>
              <c:f>[1]Curves!$B$4:$B$34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[1]Curves!$I$4:$I$34</c:f>
              <c:numCache>
                <c:formatCode>General</c:formatCode>
                <c:ptCount val="31"/>
                <c:pt idx="0">
                  <c:v>0</c:v>
                </c:pt>
                <c:pt idx="1">
                  <c:v>0.23688941059505259</c:v>
                </c:pt>
                <c:pt idx="2">
                  <c:v>0.44454266742163751</c:v>
                </c:pt>
                <c:pt idx="3">
                  <c:v>0.67013654471839024</c:v>
                </c:pt>
                <c:pt idx="4">
                  <c:v>0.86615762085473136</c:v>
                </c:pt>
                <c:pt idx="5">
                  <c:v>1.1067374801599514</c:v>
                </c:pt>
                <c:pt idx="6">
                  <c:v>1.3476556415197587</c:v>
                </c:pt>
                <c:pt idx="7">
                  <c:v>1.585812398540982</c:v>
                </c:pt>
                <c:pt idx="8">
                  <c:v>1.8362227554829695</c:v>
                </c:pt>
                <c:pt idx="9">
                  <c:v>2.1108322972902949</c:v>
                </c:pt>
                <c:pt idx="10">
                  <c:v>2.3888089024299339</c:v>
                </c:pt>
                <c:pt idx="11">
                  <c:v>2.6704230775498634</c:v>
                </c:pt>
                <c:pt idx="12">
                  <c:v>2.9608247599058353</c:v>
                </c:pt>
                <c:pt idx="13">
                  <c:v>3.5053694687935884</c:v>
                </c:pt>
                <c:pt idx="14">
                  <c:v>4.0566409916279529</c:v>
                </c:pt>
                <c:pt idx="15">
                  <c:v>4.5542208789343572</c:v>
                </c:pt>
                <c:pt idx="16">
                  <c:v>5.0582719161299519</c:v>
                </c:pt>
                <c:pt idx="17">
                  <c:v>5.5833456273960342</c:v>
                </c:pt>
                <c:pt idx="18">
                  <c:v>6.1144801405636775</c:v>
                </c:pt>
                <c:pt idx="19">
                  <c:v>6.6931720960902377</c:v>
                </c:pt>
                <c:pt idx="20">
                  <c:v>7.2797437478567835</c:v>
                </c:pt>
                <c:pt idx="21">
                  <c:v>7.9206813961186207</c:v>
                </c:pt>
                <c:pt idx="22">
                  <c:v>8.5653188809520504</c:v>
                </c:pt>
                <c:pt idx="23">
                  <c:v>9.2622782057861208</c:v>
                </c:pt>
                <c:pt idx="24">
                  <c:v>9.9651974825032266</c:v>
                </c:pt>
                <c:pt idx="25">
                  <c:v>10.445428802119171</c:v>
                </c:pt>
                <c:pt idx="26">
                  <c:v>10.928613488102945</c:v>
                </c:pt>
                <c:pt idx="27">
                  <c:v>11.415097152117303</c:v>
                </c:pt>
                <c:pt idx="28">
                  <c:v>11.90494834614309</c:v>
                </c:pt>
                <c:pt idx="29">
                  <c:v>12.398231180024167</c:v>
                </c:pt>
                <c:pt idx="30">
                  <c:v>12.895005513805222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7D2-4818-A46C-6A201D6DD08C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[1]Curves!$B$4:$B$34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[1]Curves!$I$5</c:f>
              <c:numCache>
                <c:formatCode>General</c:formatCode>
                <c:ptCount val="1"/>
                <c:pt idx="0">
                  <c:v>0.23688941059505259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D2-4818-A46C-6A201D6DD08C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>
                    <a:alpha val="97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4.9716722336999128E-2"/>
                  <c:y val="-1.9242819478044886E-2"/>
                </c:manualLayout>
              </c:layout>
              <c:numFmt formatCode="#,##0.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[1]Curves!$B$4:$B$34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[1]Curves!$I$4:$I$34</c:f>
              <c:numCache>
                <c:formatCode>General</c:formatCode>
                <c:ptCount val="31"/>
                <c:pt idx="0">
                  <c:v>0</c:v>
                </c:pt>
                <c:pt idx="1">
                  <c:v>0.23688941059505259</c:v>
                </c:pt>
                <c:pt idx="2">
                  <c:v>0.44454266742163751</c:v>
                </c:pt>
                <c:pt idx="3">
                  <c:v>0.67013654471839024</c:v>
                </c:pt>
                <c:pt idx="4">
                  <c:v>0.86615762085473136</c:v>
                </c:pt>
                <c:pt idx="5">
                  <c:v>1.1067374801599514</c:v>
                </c:pt>
                <c:pt idx="6">
                  <c:v>1.3476556415197587</c:v>
                </c:pt>
                <c:pt idx="7">
                  <c:v>1.585812398540982</c:v>
                </c:pt>
                <c:pt idx="8">
                  <c:v>1.8362227554829695</c:v>
                </c:pt>
                <c:pt idx="9">
                  <c:v>2.1108322972902949</c:v>
                </c:pt>
                <c:pt idx="10">
                  <c:v>2.3888089024299339</c:v>
                </c:pt>
                <c:pt idx="11">
                  <c:v>2.6704230775498634</c:v>
                </c:pt>
                <c:pt idx="12">
                  <c:v>2.9608247599058353</c:v>
                </c:pt>
                <c:pt idx="13">
                  <c:v>3.5053694687935884</c:v>
                </c:pt>
                <c:pt idx="14">
                  <c:v>4.0566409916279529</c:v>
                </c:pt>
                <c:pt idx="15">
                  <c:v>4.5542208789343572</c:v>
                </c:pt>
                <c:pt idx="16">
                  <c:v>5.0582719161299519</c:v>
                </c:pt>
                <c:pt idx="17">
                  <c:v>5.5833456273960342</c:v>
                </c:pt>
                <c:pt idx="18">
                  <c:v>6.1144801405636775</c:v>
                </c:pt>
                <c:pt idx="19">
                  <c:v>6.6931720960902377</c:v>
                </c:pt>
                <c:pt idx="20">
                  <c:v>7.2797437478567835</c:v>
                </c:pt>
                <c:pt idx="21">
                  <c:v>7.9206813961186207</c:v>
                </c:pt>
                <c:pt idx="22">
                  <c:v>8.5653188809520504</c:v>
                </c:pt>
                <c:pt idx="23">
                  <c:v>9.2622782057861208</c:v>
                </c:pt>
                <c:pt idx="24">
                  <c:v>9.9651974825032266</c:v>
                </c:pt>
                <c:pt idx="25">
                  <c:v>10.445428802119171</c:v>
                </c:pt>
                <c:pt idx="26">
                  <c:v>10.928613488102945</c:v>
                </c:pt>
                <c:pt idx="27">
                  <c:v>11.415097152117303</c:v>
                </c:pt>
                <c:pt idx="28">
                  <c:v>11.90494834614309</c:v>
                </c:pt>
                <c:pt idx="29">
                  <c:v>12.398231180024167</c:v>
                </c:pt>
                <c:pt idx="30">
                  <c:v>12.895005513805222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D2-4818-A46C-6A201D6DD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248056"/>
        <c:axId val="732247736"/>
      </c:scatterChart>
      <c:valAx>
        <c:axId val="732248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Km/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47736"/>
        <c:crosses val="autoZero"/>
        <c:crossBetween val="midCat"/>
      </c:valAx>
      <c:valAx>
        <c:axId val="73224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Nm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4805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V-A curve </a:t>
            </a:r>
            <a:r>
              <a:rPr lang="en-US" sz="1400" b="0" i="0" u="none" strike="noStrike" baseline="0">
                <a:effectLst/>
              </a:rPr>
              <a:t>of solar boat DC motor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[1]Curves!$B$4:$B$34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[1]Curves!$N$5</c:f>
              <c:numCache>
                <c:formatCode>General</c:formatCode>
                <c:ptCount val="1"/>
                <c:pt idx="0">
                  <c:v>1.3028917582727892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31-4252-9A32-8480D012FC8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41944878991513407"/>
                  <c:y val="-2.067123487801084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[1]Curves!$B$4:$B$34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[1]Curves!$N$4:$N$34</c:f>
              <c:numCache>
                <c:formatCode>General</c:formatCode>
                <c:ptCount val="31"/>
                <c:pt idx="0">
                  <c:v>0</c:v>
                </c:pt>
                <c:pt idx="1">
                  <c:v>1.3028917582727892</c:v>
                </c:pt>
                <c:pt idx="2">
                  <c:v>2.4449846708190064</c:v>
                </c:pt>
                <c:pt idx="3">
                  <c:v>3.6857509959511461</c:v>
                </c:pt>
                <c:pt idx="4">
                  <c:v>4.7638669147010226</c:v>
                </c:pt>
                <c:pt idx="5">
                  <c:v>6.0870561408797323</c:v>
                </c:pt>
                <c:pt idx="6">
                  <c:v>7.4121060283586724</c:v>
                </c:pt>
                <c:pt idx="7">
                  <c:v>8.7219681919754013</c:v>
                </c:pt>
                <c:pt idx="8">
                  <c:v>10.099225155156333</c:v>
                </c:pt>
                <c:pt idx="9">
                  <c:v>11.609577635096622</c:v>
                </c:pt>
                <c:pt idx="10">
                  <c:v>13.138448963364636</c:v>
                </c:pt>
                <c:pt idx="11">
                  <c:v>14.687326926524248</c:v>
                </c:pt>
                <c:pt idx="12">
                  <c:v>16.284536179482092</c:v>
                </c:pt>
                <c:pt idx="13">
                  <c:v>19.279532078364735</c:v>
                </c:pt>
                <c:pt idx="14">
                  <c:v>22.311525453953742</c:v>
                </c:pt>
                <c:pt idx="15">
                  <c:v>25.048214834138964</c:v>
                </c:pt>
                <c:pt idx="16">
                  <c:v>27.820495538714734</c:v>
                </c:pt>
                <c:pt idx="17">
                  <c:v>30.708400950678186</c:v>
                </c:pt>
                <c:pt idx="18">
                  <c:v>33.629640773100228</c:v>
                </c:pt>
                <c:pt idx="19">
                  <c:v>36.812446528496309</c:v>
                </c:pt>
                <c:pt idx="20">
                  <c:v>40.038590613212307</c:v>
                </c:pt>
                <c:pt idx="21">
                  <c:v>43.563747678652412</c:v>
                </c:pt>
                <c:pt idx="22">
                  <c:v>47.109253845236275</c:v>
                </c:pt>
                <c:pt idx="23">
                  <c:v>50.942530131823666</c:v>
                </c:pt>
                <c:pt idx="24">
                  <c:v>54.808586153767742</c:v>
                </c:pt>
                <c:pt idx="25">
                  <c:v>57.449858411655441</c:v>
                </c:pt>
                <c:pt idx="26">
                  <c:v>60.107374184566197</c:v>
                </c:pt>
                <c:pt idx="27">
                  <c:v>62.783034336645166</c:v>
                </c:pt>
                <c:pt idx="28">
                  <c:v>65.477215903786998</c:v>
                </c:pt>
                <c:pt idx="29">
                  <c:v>68.190271490132915</c:v>
                </c:pt>
                <c:pt idx="30">
                  <c:v>70.922530325928719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31-4252-9A32-8480D012F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251256"/>
        <c:axId val="732253496"/>
      </c:scatterChart>
      <c:valAx>
        <c:axId val="732251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Km/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53496"/>
        <c:crosses val="autoZero"/>
        <c:crossBetween val="midCat"/>
      </c:valAx>
      <c:valAx>
        <c:axId val="732253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A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51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A-T</a:t>
            </a:r>
            <a:r>
              <a:rPr lang="en-US" altLang="zh-CN" baseline="0"/>
              <a:t> curve for solar boat DC motor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90276454256224"/>
          <c:y val="0.19052062427939115"/>
          <c:w val="0.8468497375328083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Data!$N$4:$N$34</c:f>
              <c:numCache>
                <c:formatCode>General</c:formatCode>
                <c:ptCount val="31"/>
                <c:pt idx="0">
                  <c:v>0</c:v>
                </c:pt>
                <c:pt idx="1">
                  <c:v>1.3028917582727892</c:v>
                </c:pt>
                <c:pt idx="2">
                  <c:v>2.4449846708190064</c:v>
                </c:pt>
                <c:pt idx="3">
                  <c:v>3.6857509959511461</c:v>
                </c:pt>
                <c:pt idx="4">
                  <c:v>4.7638669147010226</c:v>
                </c:pt>
                <c:pt idx="5">
                  <c:v>6.0870561408797323</c:v>
                </c:pt>
                <c:pt idx="6">
                  <c:v>7.4121060283586724</c:v>
                </c:pt>
                <c:pt idx="7">
                  <c:v>8.7219681919754013</c:v>
                </c:pt>
                <c:pt idx="8">
                  <c:v>10.099225155156333</c:v>
                </c:pt>
                <c:pt idx="9">
                  <c:v>11.609577635096622</c:v>
                </c:pt>
                <c:pt idx="10">
                  <c:v>13.138448963364636</c:v>
                </c:pt>
                <c:pt idx="11">
                  <c:v>14.687326926524248</c:v>
                </c:pt>
                <c:pt idx="12">
                  <c:v>16.284536179482092</c:v>
                </c:pt>
                <c:pt idx="13">
                  <c:v>19.279532078364735</c:v>
                </c:pt>
                <c:pt idx="14">
                  <c:v>22.311525453953742</c:v>
                </c:pt>
                <c:pt idx="15">
                  <c:v>25.048214834138964</c:v>
                </c:pt>
                <c:pt idx="16">
                  <c:v>27.820495538714734</c:v>
                </c:pt>
                <c:pt idx="17">
                  <c:v>30.708400950678186</c:v>
                </c:pt>
                <c:pt idx="18">
                  <c:v>33.629640773100228</c:v>
                </c:pt>
                <c:pt idx="19">
                  <c:v>36.812446528496309</c:v>
                </c:pt>
                <c:pt idx="20">
                  <c:v>40.038590613212307</c:v>
                </c:pt>
                <c:pt idx="21">
                  <c:v>43.563747678652412</c:v>
                </c:pt>
                <c:pt idx="22">
                  <c:v>47.109253845236275</c:v>
                </c:pt>
                <c:pt idx="23">
                  <c:v>50.942530131823666</c:v>
                </c:pt>
                <c:pt idx="24">
                  <c:v>54.808586153767742</c:v>
                </c:pt>
                <c:pt idx="25">
                  <c:v>57.449858411655441</c:v>
                </c:pt>
                <c:pt idx="26">
                  <c:v>60.107374184566197</c:v>
                </c:pt>
                <c:pt idx="27">
                  <c:v>62.783034336645166</c:v>
                </c:pt>
                <c:pt idx="28">
                  <c:v>65.477215903786998</c:v>
                </c:pt>
                <c:pt idx="29">
                  <c:v>68.190271490132915</c:v>
                </c:pt>
                <c:pt idx="30">
                  <c:v>70.922530325928719</c:v>
                </c:pt>
              </c:numCache>
            </c:numRef>
          </c:xVal>
          <c:yVal>
            <c:numRef>
              <c:f>Data!$I$20</c:f>
              <c:numCache>
                <c:formatCode>General</c:formatCode>
                <c:ptCount val="1"/>
                <c:pt idx="0">
                  <c:v>5.0582719161299519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C1-4486-9516-9C9B124DA0F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Data!$N$4:$N$34</c:f>
              <c:numCache>
                <c:formatCode>General</c:formatCode>
                <c:ptCount val="31"/>
                <c:pt idx="0">
                  <c:v>0</c:v>
                </c:pt>
                <c:pt idx="1">
                  <c:v>1.3028917582727892</c:v>
                </c:pt>
                <c:pt idx="2">
                  <c:v>2.4449846708190064</c:v>
                </c:pt>
                <c:pt idx="3">
                  <c:v>3.6857509959511461</c:v>
                </c:pt>
                <c:pt idx="4">
                  <c:v>4.7638669147010226</c:v>
                </c:pt>
                <c:pt idx="5">
                  <c:v>6.0870561408797323</c:v>
                </c:pt>
                <c:pt idx="6">
                  <c:v>7.4121060283586724</c:v>
                </c:pt>
                <c:pt idx="7">
                  <c:v>8.7219681919754013</c:v>
                </c:pt>
                <c:pt idx="8">
                  <c:v>10.099225155156333</c:v>
                </c:pt>
                <c:pt idx="9">
                  <c:v>11.609577635096622</c:v>
                </c:pt>
                <c:pt idx="10">
                  <c:v>13.138448963364636</c:v>
                </c:pt>
                <c:pt idx="11">
                  <c:v>14.687326926524248</c:v>
                </c:pt>
                <c:pt idx="12">
                  <c:v>16.284536179482092</c:v>
                </c:pt>
                <c:pt idx="13">
                  <c:v>19.279532078364735</c:v>
                </c:pt>
                <c:pt idx="14">
                  <c:v>22.311525453953742</c:v>
                </c:pt>
                <c:pt idx="15">
                  <c:v>25.048214834138964</c:v>
                </c:pt>
                <c:pt idx="16">
                  <c:v>27.820495538714734</c:v>
                </c:pt>
                <c:pt idx="17">
                  <c:v>30.708400950678186</c:v>
                </c:pt>
                <c:pt idx="18">
                  <c:v>33.629640773100228</c:v>
                </c:pt>
                <c:pt idx="19">
                  <c:v>36.812446528496309</c:v>
                </c:pt>
                <c:pt idx="20">
                  <c:v>40.038590613212307</c:v>
                </c:pt>
                <c:pt idx="21">
                  <c:v>43.563747678652412</c:v>
                </c:pt>
                <c:pt idx="22">
                  <c:v>47.109253845236275</c:v>
                </c:pt>
                <c:pt idx="23">
                  <c:v>50.942530131823666</c:v>
                </c:pt>
                <c:pt idx="24">
                  <c:v>54.808586153767742</c:v>
                </c:pt>
                <c:pt idx="25">
                  <c:v>57.449858411655441</c:v>
                </c:pt>
                <c:pt idx="26">
                  <c:v>60.107374184566197</c:v>
                </c:pt>
                <c:pt idx="27">
                  <c:v>62.783034336645166</c:v>
                </c:pt>
                <c:pt idx="28">
                  <c:v>65.477215903786998</c:v>
                </c:pt>
                <c:pt idx="29">
                  <c:v>68.190271490132915</c:v>
                </c:pt>
                <c:pt idx="30">
                  <c:v>70.922530325928719</c:v>
                </c:pt>
              </c:numCache>
            </c:numRef>
          </c:xVal>
          <c:yVal>
            <c:numRef>
              <c:f>Data!$I$4:$I$34</c:f>
              <c:numCache>
                <c:formatCode>General</c:formatCode>
                <c:ptCount val="31"/>
                <c:pt idx="0">
                  <c:v>0</c:v>
                </c:pt>
                <c:pt idx="1">
                  <c:v>0.23688941059505259</c:v>
                </c:pt>
                <c:pt idx="2">
                  <c:v>0.44454266742163751</c:v>
                </c:pt>
                <c:pt idx="3">
                  <c:v>0.67013654471839024</c:v>
                </c:pt>
                <c:pt idx="4">
                  <c:v>0.86615762085473136</c:v>
                </c:pt>
                <c:pt idx="5">
                  <c:v>1.1067374801599514</c:v>
                </c:pt>
                <c:pt idx="6">
                  <c:v>1.3476556415197587</c:v>
                </c:pt>
                <c:pt idx="7">
                  <c:v>1.585812398540982</c:v>
                </c:pt>
                <c:pt idx="8">
                  <c:v>1.8362227554829695</c:v>
                </c:pt>
                <c:pt idx="9">
                  <c:v>2.1108322972902949</c:v>
                </c:pt>
                <c:pt idx="10">
                  <c:v>2.3888089024299339</c:v>
                </c:pt>
                <c:pt idx="11">
                  <c:v>2.6704230775498634</c:v>
                </c:pt>
                <c:pt idx="12">
                  <c:v>2.9608247599058353</c:v>
                </c:pt>
                <c:pt idx="13">
                  <c:v>3.5053694687935884</c:v>
                </c:pt>
                <c:pt idx="14">
                  <c:v>4.0566409916279529</c:v>
                </c:pt>
                <c:pt idx="15">
                  <c:v>4.5542208789343572</c:v>
                </c:pt>
                <c:pt idx="16">
                  <c:v>5.0582719161299519</c:v>
                </c:pt>
                <c:pt idx="17">
                  <c:v>5.5833456273960342</c:v>
                </c:pt>
                <c:pt idx="18">
                  <c:v>6.1144801405636775</c:v>
                </c:pt>
                <c:pt idx="19">
                  <c:v>6.6931720960902377</c:v>
                </c:pt>
                <c:pt idx="20">
                  <c:v>7.2797437478567835</c:v>
                </c:pt>
                <c:pt idx="21">
                  <c:v>7.9206813961186207</c:v>
                </c:pt>
                <c:pt idx="22">
                  <c:v>8.5653188809520504</c:v>
                </c:pt>
                <c:pt idx="23">
                  <c:v>9.2622782057861208</c:v>
                </c:pt>
                <c:pt idx="24">
                  <c:v>9.9651974825032266</c:v>
                </c:pt>
                <c:pt idx="25">
                  <c:v>10.445428802119171</c:v>
                </c:pt>
                <c:pt idx="26">
                  <c:v>10.928613488102945</c:v>
                </c:pt>
                <c:pt idx="27">
                  <c:v>11.415097152117303</c:v>
                </c:pt>
                <c:pt idx="28">
                  <c:v>11.90494834614309</c:v>
                </c:pt>
                <c:pt idx="29">
                  <c:v>12.398231180024167</c:v>
                </c:pt>
                <c:pt idx="30">
                  <c:v>12.895005513805222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C1-4486-9516-9C9B124DA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773168"/>
        <c:axId val="721586256"/>
      </c:scatterChart>
      <c:valAx>
        <c:axId val="590773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A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586256"/>
        <c:crosses val="autoZero"/>
        <c:crossBetween val="midCat"/>
      </c:valAx>
      <c:valAx>
        <c:axId val="72158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&quot;Nm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77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chart" Target="../charts/chart5.xml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28205</xdr:rowOff>
    </xdr:from>
    <xdr:to>
      <xdr:col>4</xdr:col>
      <xdr:colOff>1425444</xdr:colOff>
      <xdr:row>35</xdr:row>
      <xdr:rowOff>89066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FF0CBFC-389D-433D-AE76-AD4DF68C11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1433372</xdr:colOff>
      <xdr:row>17</xdr:row>
      <xdr:rowOff>13755</xdr:rowOff>
    </xdr:from>
    <xdr:to>
      <xdr:col>8</xdr:col>
      <xdr:colOff>2713788</xdr:colOff>
      <xdr:row>35</xdr:row>
      <xdr:rowOff>147053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D3A9644-6FBB-49A1-8055-85DF1D52F0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1384749</xdr:colOff>
      <xdr:row>35</xdr:row>
      <xdr:rowOff>133684</xdr:rowOff>
    </xdr:from>
    <xdr:to>
      <xdr:col>9</xdr:col>
      <xdr:colOff>0</xdr:colOff>
      <xdr:row>54</xdr:row>
      <xdr:rowOff>47917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8C83CA67-EB1F-47E7-A54F-6B70737F52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35</xdr:row>
      <xdr:rowOff>87331</xdr:rowOff>
    </xdr:from>
    <xdr:to>
      <xdr:col>4</xdr:col>
      <xdr:colOff>1417052</xdr:colOff>
      <xdr:row>54</xdr:row>
      <xdr:rowOff>66842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739EB8A4-9942-4041-BEBF-878371A295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376051</xdr:colOff>
      <xdr:row>12</xdr:row>
      <xdr:rowOff>49481</xdr:rowOff>
    </xdr:from>
    <xdr:to>
      <xdr:col>2</xdr:col>
      <xdr:colOff>323332</xdr:colOff>
      <xdr:row>17</xdr:row>
      <xdr:rowOff>108858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8E453783-F43E-4F82-B688-D2AC5846F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76051" y="2008910"/>
          <a:ext cx="2747063" cy="950026"/>
        </a:xfrm>
        <a:prstGeom prst="rect">
          <a:avLst/>
        </a:prstGeom>
      </xdr:spPr>
    </xdr:pic>
    <xdr:clientData/>
  </xdr:twoCellAnchor>
  <xdr:twoCellAnchor editAs="oneCell">
    <xdr:from>
      <xdr:col>8</xdr:col>
      <xdr:colOff>2551948</xdr:colOff>
      <xdr:row>7</xdr:row>
      <xdr:rowOff>14324</xdr:rowOff>
    </xdr:from>
    <xdr:to>
      <xdr:col>16</xdr:col>
      <xdr:colOff>360493</xdr:colOff>
      <xdr:row>60</xdr:row>
      <xdr:rowOff>14474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588A4C92-BDED-4E37-BD78-ED413C66F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16419" y="1269383"/>
          <a:ext cx="7750404" cy="95027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133978</xdr:rowOff>
    </xdr:from>
    <xdr:to>
      <xdr:col>1</xdr:col>
      <xdr:colOff>625942</xdr:colOff>
      <xdr:row>3</xdr:row>
      <xdr:rowOff>172786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CD9DA27-5731-4449-8AA7-F66C66B37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3978"/>
          <a:ext cx="3308182" cy="564588"/>
        </a:xfrm>
        <a:prstGeom prst="rect">
          <a:avLst/>
        </a:prstGeom>
      </xdr:spPr>
    </xdr:pic>
    <xdr:clientData/>
  </xdr:twoCellAnchor>
  <xdr:twoCellAnchor>
    <xdr:from>
      <xdr:col>4</xdr:col>
      <xdr:colOff>1398641</xdr:colOff>
      <xdr:row>52</xdr:row>
      <xdr:rowOff>63668</xdr:rowOff>
    </xdr:from>
    <xdr:to>
      <xdr:col>7</xdr:col>
      <xdr:colOff>1133280</xdr:colOff>
      <xdr:row>67</xdr:row>
      <xdr:rowOff>39538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DF9A489-5894-4A17-B959-C76CD4437D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12152</xdr:colOff>
      <xdr:row>14</xdr:row>
      <xdr:rowOff>49426</xdr:rowOff>
    </xdr:from>
    <xdr:to>
      <xdr:col>1</xdr:col>
      <xdr:colOff>1746287</xdr:colOff>
      <xdr:row>22</xdr:row>
      <xdr:rowOff>5573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DFB14EAB-31A0-4485-9476-8CAFDBA51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52" y="2604914"/>
          <a:ext cx="4419720" cy="14429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71717</xdr:rowOff>
    </xdr:from>
    <xdr:to>
      <xdr:col>1</xdr:col>
      <xdr:colOff>1839116</xdr:colOff>
      <xdr:row>45</xdr:row>
      <xdr:rowOff>72576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F1AA4289-729F-4CD4-89DA-42B79122E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329952"/>
          <a:ext cx="4519563" cy="3945330"/>
        </a:xfrm>
        <a:prstGeom prst="rect">
          <a:avLst/>
        </a:prstGeom>
      </xdr:spPr>
    </xdr:pic>
    <xdr:clientData/>
  </xdr:twoCellAnchor>
  <xdr:twoCellAnchor editAs="oneCell">
    <xdr:from>
      <xdr:col>0</xdr:col>
      <xdr:colOff>8373</xdr:colOff>
      <xdr:row>46</xdr:row>
      <xdr:rowOff>175846</xdr:rowOff>
    </xdr:from>
    <xdr:to>
      <xdr:col>2</xdr:col>
      <xdr:colOff>1218638</xdr:colOff>
      <xdr:row>57</xdr:row>
      <xdr:rowOff>160286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D1486AEF-0FF2-4BCB-B326-9745B587C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373" y="8199706"/>
          <a:ext cx="5744165" cy="1912300"/>
        </a:xfrm>
        <a:prstGeom prst="rect">
          <a:avLst/>
        </a:prstGeom>
      </xdr:spPr>
    </xdr:pic>
    <xdr:clientData/>
  </xdr:twoCellAnchor>
  <xdr:twoCellAnchor editAs="oneCell">
    <xdr:from>
      <xdr:col>0</xdr:col>
      <xdr:colOff>253417</xdr:colOff>
      <xdr:row>59</xdr:row>
      <xdr:rowOff>177009</xdr:rowOff>
    </xdr:from>
    <xdr:to>
      <xdr:col>4</xdr:col>
      <xdr:colOff>970813</xdr:colOff>
      <xdr:row>68</xdr:row>
      <xdr:rowOff>9670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38AEC5BD-F871-40B3-90E4-5D7D85A0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3417" y="10889833"/>
          <a:ext cx="7826408" cy="14463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167473</xdr:rowOff>
    </xdr:from>
    <xdr:to>
      <xdr:col>2</xdr:col>
      <xdr:colOff>1346058</xdr:colOff>
      <xdr:row>93</xdr:row>
      <xdr:rowOff>25378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E38F8C24-0797-4614-92B1-3A30C15DF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2136449"/>
          <a:ext cx="5880887" cy="4448490"/>
        </a:xfrm>
        <a:prstGeom prst="rect">
          <a:avLst/>
        </a:prstGeom>
      </xdr:spPr>
    </xdr:pic>
    <xdr:clientData/>
  </xdr:twoCellAnchor>
  <xdr:twoCellAnchor editAs="oneCell">
    <xdr:from>
      <xdr:col>7</xdr:col>
      <xdr:colOff>1392809</xdr:colOff>
      <xdr:row>55</xdr:row>
      <xdr:rowOff>116869</xdr:rowOff>
    </xdr:from>
    <xdr:to>
      <xdr:col>10</xdr:col>
      <xdr:colOff>563809</xdr:colOff>
      <xdr:row>65</xdr:row>
      <xdr:rowOff>64892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EC3371B8-9E79-4A0B-AEC4-60276CB4D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817891" y="10112516"/>
          <a:ext cx="2613447" cy="1740964"/>
        </a:xfrm>
        <a:prstGeom prst="rect">
          <a:avLst/>
        </a:prstGeom>
      </xdr:spPr>
    </xdr:pic>
    <xdr:clientData/>
  </xdr:twoCellAnchor>
  <xdr:twoCellAnchor>
    <xdr:from>
      <xdr:col>0</xdr:col>
      <xdr:colOff>2420471</xdr:colOff>
      <xdr:row>54</xdr:row>
      <xdr:rowOff>116541</xdr:rowOff>
    </xdr:from>
    <xdr:to>
      <xdr:col>1</xdr:col>
      <xdr:colOff>1246094</xdr:colOff>
      <xdr:row>56</xdr:row>
      <xdr:rowOff>107577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C044DB5E-DA7F-4822-A4A5-9362FD1A9A02}"/>
            </a:ext>
          </a:extLst>
        </xdr:cNvPr>
        <xdr:cNvSpPr txBox="1"/>
      </xdr:nvSpPr>
      <xdr:spPr>
        <a:xfrm>
          <a:off x="2420471" y="9932894"/>
          <a:ext cx="1506070" cy="3496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altLang="zh-CN" sz="1100"/>
            <a:t>Motor</a:t>
          </a:r>
          <a:r>
            <a:rPr lang="en-GB" altLang="zh-CN" sz="1100" baseline="0"/>
            <a:t> rotation speed</a:t>
          </a:r>
          <a:endParaRPr lang="zh-CN" altLang="en-US" sz="1100"/>
        </a:p>
      </xdr:txBody>
    </xdr:sp>
    <xdr:clientData/>
  </xdr:twoCellAnchor>
  <xdr:twoCellAnchor>
    <xdr:from>
      <xdr:col>1</xdr:col>
      <xdr:colOff>125506</xdr:colOff>
      <xdr:row>81</xdr:row>
      <xdr:rowOff>0</xdr:rowOff>
    </xdr:from>
    <xdr:to>
      <xdr:col>1</xdr:col>
      <xdr:colOff>1631576</xdr:colOff>
      <xdr:row>82</xdr:row>
      <xdr:rowOff>170330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2F1E7530-8A10-46B9-973C-2C97CE7505C9}"/>
            </a:ext>
          </a:extLst>
        </xdr:cNvPr>
        <xdr:cNvSpPr txBox="1"/>
      </xdr:nvSpPr>
      <xdr:spPr>
        <a:xfrm>
          <a:off x="2805953" y="14657294"/>
          <a:ext cx="1506070" cy="3496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altLang="zh-CN" sz="1100"/>
            <a:t>Motor</a:t>
          </a:r>
          <a:r>
            <a:rPr lang="en-GB" altLang="zh-CN" sz="1100" baseline="0"/>
            <a:t> rotation speed</a:t>
          </a:r>
          <a:endParaRPr lang="zh-CN" altLang="en-US" sz="1100"/>
        </a:p>
      </xdr:txBody>
    </xdr:sp>
    <xdr:clientData/>
  </xdr:twoCellAnchor>
  <xdr:twoCellAnchor>
    <xdr:from>
      <xdr:col>0</xdr:col>
      <xdr:colOff>1595716</xdr:colOff>
      <xdr:row>41</xdr:row>
      <xdr:rowOff>34097</xdr:rowOff>
    </xdr:from>
    <xdr:to>
      <xdr:col>1</xdr:col>
      <xdr:colOff>905434</xdr:colOff>
      <xdr:row>43</xdr:row>
      <xdr:rowOff>26894</xdr:rowOff>
    </xdr:to>
    <xdr:sp macro="" textlink="">
      <xdr:nvSpPr>
        <xdr:cNvPr id="13" name="文本框 12">
          <a:extLst>
            <a:ext uri="{FF2B5EF4-FFF2-40B4-BE49-F238E27FC236}">
              <a16:creationId xmlns:a16="http://schemas.microsoft.com/office/drawing/2014/main" id="{77304117-34F9-4883-B067-6C28C0CA470B}"/>
            </a:ext>
          </a:extLst>
        </xdr:cNvPr>
        <xdr:cNvSpPr txBox="1"/>
      </xdr:nvSpPr>
      <xdr:spPr>
        <a:xfrm>
          <a:off x="1595716" y="7519626"/>
          <a:ext cx="1990165" cy="3513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altLang="zh-CN" sz="1100"/>
            <a:t>Motor</a:t>
          </a:r>
          <a:r>
            <a:rPr lang="en-GB" altLang="zh-CN" sz="1100" baseline="0"/>
            <a:t> output torque(G7)</a:t>
          </a:r>
          <a:endParaRPr lang="zh-CN" altLang="en-US" sz="1100"/>
        </a:p>
      </xdr:txBody>
    </xdr:sp>
    <xdr:clientData/>
  </xdr:twoCellAnchor>
  <xdr:twoCellAnchor editAs="oneCell">
    <xdr:from>
      <xdr:col>4</xdr:col>
      <xdr:colOff>1846729</xdr:colOff>
      <xdr:row>11</xdr:row>
      <xdr:rowOff>53788</xdr:rowOff>
    </xdr:from>
    <xdr:to>
      <xdr:col>7</xdr:col>
      <xdr:colOff>1445503</xdr:colOff>
      <xdr:row>47</xdr:row>
      <xdr:rowOff>123009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D768ACA7-D845-431F-885E-1DA6F2BED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955741" y="2160494"/>
          <a:ext cx="4923809" cy="652380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49413/Dropbox/MECHATRONICS%20PROJECT%201/Solarboat%20Data/Copy%20of%20propdesign_algemene_sheet%20marof%20v3%20HZ%20p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ull data"/>
      <sheetName val="resistance"/>
      <sheetName val="propulsion ENG"/>
      <sheetName val="propulsion MAROF"/>
      <sheetName val="OW props"/>
      <sheetName val="Motor"/>
      <sheetName val="Battery"/>
      <sheetName val="Solar Panels"/>
      <sheetName val="Safety Electronics"/>
      <sheetName val="Curves"/>
      <sheetName val="Analyse aandrijving marof"/>
    </sheetNames>
    <sheetDataSet>
      <sheetData sheetId="0"/>
      <sheetData sheetId="1"/>
      <sheetData sheetId="2"/>
      <sheetData sheetId="3">
        <row r="11">
          <cell r="X11" t="str">
            <v>Power out (from prop. Eff.)</v>
          </cell>
          <cell r="Z11" t="str">
            <v>propeller efficiency</v>
          </cell>
          <cell r="AB11" t="str">
            <v>n,prop</v>
          </cell>
          <cell r="AD11" t="str">
            <v>eta</v>
          </cell>
          <cell r="AE11" t="str">
            <v>n,motor</v>
          </cell>
          <cell r="AF11" t="str">
            <v>torque,motor</v>
          </cell>
          <cell r="AG11" t="str">
            <v>P,motor, out</v>
          </cell>
          <cell r="AH11" t="str">
            <v>eta</v>
          </cell>
          <cell r="AI11" t="str">
            <v>P_in_elekt</v>
          </cell>
          <cell r="AJ11" t="str">
            <v>current</v>
          </cell>
          <cell r="AK11" t="str">
            <v>voltage</v>
          </cell>
        </row>
        <row r="12">
          <cell r="B12" t="str">
            <v>[m/s]</v>
          </cell>
          <cell r="C12" t="str">
            <v>[km/h]</v>
          </cell>
          <cell r="W12" t="str">
            <v>[Nm]</v>
          </cell>
          <cell r="X12" t="str">
            <v>[W]</v>
          </cell>
          <cell r="Z12" t="str">
            <v>[%]</v>
          </cell>
          <cell r="AB12" t="str">
            <v>[RPM]</v>
          </cell>
          <cell r="AD12" t="str">
            <v>[-]</v>
          </cell>
          <cell r="AE12" t="str">
            <v>[RPM]</v>
          </cell>
          <cell r="AF12" t="str">
            <v>[Nm]</v>
          </cell>
          <cell r="AG12" t="str">
            <v>[W]</v>
          </cell>
          <cell r="AH12" t="str">
            <v>[-]</v>
          </cell>
          <cell r="AI12" t="str">
            <v>[W]</v>
          </cell>
          <cell r="AJ12" t="str">
            <v>[A]</v>
          </cell>
          <cell r="AK12" t="str">
            <v>[V]</v>
          </cell>
        </row>
        <row r="13">
          <cell r="B13">
            <v>0</v>
          </cell>
          <cell r="C13">
            <v>0</v>
          </cell>
          <cell r="W13">
            <v>0</v>
          </cell>
          <cell r="X13">
            <v>0</v>
          </cell>
          <cell r="Z13">
            <v>0</v>
          </cell>
          <cell r="AB13">
            <v>0</v>
          </cell>
          <cell r="AD13">
            <v>0.97</v>
          </cell>
          <cell r="AE13">
            <v>0</v>
          </cell>
          <cell r="AF13">
            <v>0</v>
          </cell>
          <cell r="AG13">
            <v>0</v>
          </cell>
          <cell r="AH13">
            <v>0.84</v>
          </cell>
          <cell r="AI13">
            <v>0</v>
          </cell>
          <cell r="AJ13">
            <v>0</v>
          </cell>
          <cell r="AK13">
            <v>0</v>
          </cell>
        </row>
        <row r="14">
          <cell r="B14">
            <v>0.27777777777777779</v>
          </cell>
          <cell r="C14">
            <v>1</v>
          </cell>
          <cell r="W14">
            <v>0.68934818483160309</v>
          </cell>
          <cell r="X14">
            <v>2.7647549920027985</v>
          </cell>
          <cell r="Z14">
            <v>0.32558561724350005</v>
          </cell>
          <cell r="AB14">
            <v>117.63164893044427</v>
          </cell>
          <cell r="AD14">
            <v>0.97</v>
          </cell>
          <cell r="AE14">
            <v>352.89494679133281</v>
          </cell>
          <cell r="AF14">
            <v>0.23688941059505259</v>
          </cell>
          <cell r="AG14">
            <v>9.0250157958023927</v>
          </cell>
          <cell r="AH14">
            <v>0.84</v>
          </cell>
          <cell r="AI14">
            <v>10.744066423574278</v>
          </cell>
          <cell r="AJ14">
            <v>1.3028917582727892</v>
          </cell>
          <cell r="AK14">
            <v>8.2463231157570718</v>
          </cell>
        </row>
        <row r="15">
          <cell r="B15">
            <v>0.55555555555555558</v>
          </cell>
          <cell r="C15">
            <v>2</v>
          </cell>
          <cell r="W15">
            <v>1.2936191621969653</v>
          </cell>
          <cell r="X15">
            <v>11.059019968011199</v>
          </cell>
          <cell r="Z15">
            <v>0.47873201832554035</v>
          </cell>
          <cell r="AB15">
            <v>170.52541276142992</v>
          </cell>
          <cell r="AD15">
            <v>0.97</v>
          </cell>
          <cell r="AE15">
            <v>511.57623828428973</v>
          </cell>
          <cell r="AF15">
            <v>0.44454266742163751</v>
          </cell>
          <cell r="AG15">
            <v>24.551650827837658</v>
          </cell>
          <cell r="AH15">
            <v>0.84</v>
          </cell>
          <cell r="AI15">
            <v>29.228155747425784</v>
          </cell>
          <cell r="AJ15">
            <v>2.4449846708190064</v>
          </cell>
          <cell r="AK15">
            <v>11.954330878334346</v>
          </cell>
        </row>
        <row r="16">
          <cell r="B16">
            <v>0.83333333333333326</v>
          </cell>
          <cell r="C16">
            <v>3</v>
          </cell>
          <cell r="W16">
            <v>1.9500973451305157</v>
          </cell>
          <cell r="X16">
            <v>24.882794928025181</v>
          </cell>
          <cell r="Z16">
            <v>0.55670963830512532</v>
          </cell>
          <cell r="AB16">
            <v>218.86963365639542</v>
          </cell>
          <cell r="AD16">
            <v>0.97</v>
          </cell>
          <cell r="AE16">
            <v>656.60890096918627</v>
          </cell>
          <cell r="AF16">
            <v>0.67013654471839024</v>
          </cell>
          <cell r="AG16">
            <v>47.503646833007359</v>
          </cell>
          <cell r="AH16">
            <v>0.84</v>
          </cell>
          <cell r="AI16">
            <v>56.55196051548495</v>
          </cell>
          <cell r="AJ16">
            <v>3.6857509959511461</v>
          </cell>
          <cell r="AK16">
            <v>15.343402356157034</v>
          </cell>
        </row>
        <row r="17">
          <cell r="B17">
            <v>1.1111111111111112</v>
          </cell>
          <cell r="C17">
            <v>4</v>
          </cell>
          <cell r="W17">
            <v>2.5205186766872685</v>
          </cell>
          <cell r="X17">
            <v>44.236079872044783</v>
          </cell>
          <cell r="Z17">
            <v>0.64594641224803473</v>
          </cell>
          <cell r="AB17">
            <v>259.45473764948753</v>
          </cell>
          <cell r="AD17">
            <v>0.97</v>
          </cell>
          <cell r="AE17">
            <v>778.36421294846264</v>
          </cell>
          <cell r="AF17">
            <v>0.86615762085473136</v>
          </cell>
          <cell r="AG17">
            <v>72.784126553961841</v>
          </cell>
          <cell r="AH17">
            <v>0.84</v>
          </cell>
          <cell r="AI17">
            <v>86.647769707097439</v>
          </cell>
          <cell r="AJ17">
            <v>4.7638669147010226</v>
          </cell>
          <cell r="AK17">
            <v>18.188537013850521</v>
          </cell>
        </row>
        <row r="18">
          <cell r="B18">
            <v>1.3888888888888888</v>
          </cell>
          <cell r="C18">
            <v>5</v>
          </cell>
          <cell r="W18">
            <v>3.2206060672654591</v>
          </cell>
          <cell r="X18">
            <v>69.118874800069975</v>
          </cell>
          <cell r="Z18">
            <v>0.68287752555599446</v>
          </cell>
          <cell r="AB18">
            <v>300.11493969782845</v>
          </cell>
          <cell r="AD18">
            <v>0.97</v>
          </cell>
          <cell r="AE18">
            <v>900.34481909348528</v>
          </cell>
          <cell r="AF18">
            <v>1.1067374801599514</v>
          </cell>
          <cell r="AG18">
            <v>107.57475639999359</v>
          </cell>
          <cell r="AH18">
            <v>0.84</v>
          </cell>
          <cell r="AI18">
            <v>128.06518619046855</v>
          </cell>
          <cell r="AJ18">
            <v>6.0870561408797323</v>
          </cell>
          <cell r="AK18">
            <v>21.038936265168061</v>
          </cell>
        </row>
        <row r="19">
          <cell r="B19">
            <v>1.6666666666666665</v>
          </cell>
          <cell r="C19">
            <v>6</v>
          </cell>
          <cell r="W19">
            <v>3.9216779168224978</v>
          </cell>
          <cell r="X19">
            <v>99.531179712100752</v>
          </cell>
          <cell r="Z19">
            <v>0.71708636152769356</v>
          </cell>
          <cell r="AB19">
            <v>337.97700134358718</v>
          </cell>
          <cell r="AD19">
            <v>0.97</v>
          </cell>
          <cell r="AE19">
            <v>1013.9310040307615</v>
          </cell>
          <cell r="AF19">
            <v>1.3476556415197587</v>
          </cell>
          <cell r="AG19">
            <v>147.51772988814054</v>
          </cell>
          <cell r="AH19">
            <v>0.84</v>
          </cell>
          <cell r="AI19">
            <v>175.61634510492922</v>
          </cell>
          <cell r="AJ19">
            <v>7.4121060283586724</v>
          </cell>
          <cell r="AK19">
            <v>23.693177678924474</v>
          </cell>
        </row>
        <row r="20">
          <cell r="B20">
            <v>1.9444444444444444</v>
          </cell>
          <cell r="C20">
            <v>7</v>
          </cell>
          <cell r="W20">
            <v>4.6147140797542576</v>
          </cell>
          <cell r="X20">
            <v>135.47299460813707</v>
          </cell>
          <cell r="Z20">
            <v>0.75024907726364887</v>
          </cell>
          <cell r="AB20">
            <v>373.65762148758205</v>
          </cell>
          <cell r="AD20">
            <v>0.97</v>
          </cell>
          <cell r="AE20">
            <v>1120.9728644627462</v>
          </cell>
          <cell r="AF20">
            <v>1.585812398540982</v>
          </cell>
          <cell r="AG20">
            <v>191.91273398437883</v>
          </cell>
          <cell r="AH20">
            <v>0.86</v>
          </cell>
          <cell r="AI20">
            <v>223.15434184230097</v>
          </cell>
          <cell r="AJ20">
            <v>8.7219681919754013</v>
          </cell>
          <cell r="AK20">
            <v>25.585319383257197</v>
          </cell>
        </row>
        <row r="21">
          <cell r="B21">
            <v>2.2222222222222223</v>
          </cell>
          <cell r="C21">
            <v>8</v>
          </cell>
          <cell r="W21">
            <v>5.3434082184554414</v>
          </cell>
          <cell r="X21">
            <v>176.94431948817908</v>
          </cell>
          <cell r="Z21">
            <v>0.7740629806512781</v>
          </cell>
          <cell r="AB21">
            <v>408.52002975567825</v>
          </cell>
          <cell r="AD21">
            <v>0.97</v>
          </cell>
          <cell r="AE21">
            <v>1225.5600892670348</v>
          </cell>
          <cell r="AF21">
            <v>1.8362227554829695</v>
          </cell>
          <cell r="AG21">
            <v>242.94997482805118</v>
          </cell>
          <cell r="AH21">
            <v>0.86</v>
          </cell>
          <cell r="AI21">
            <v>282.49997073029209</v>
          </cell>
          <cell r="AJ21">
            <v>10.099225155156333</v>
          </cell>
          <cell r="AK21">
            <v>27.972440102105942</v>
          </cell>
        </row>
        <row r="22">
          <cell r="B22">
            <v>2.5</v>
          </cell>
          <cell r="C22">
            <v>9</v>
          </cell>
          <cell r="W22">
            <v>6.1425219851147581</v>
          </cell>
          <cell r="X22">
            <v>223.94515435222675</v>
          </cell>
          <cell r="Z22">
            <v>0.78539376587296628</v>
          </cell>
          <cell r="AB22">
            <v>443.28076079688816</v>
          </cell>
          <cell r="AD22">
            <v>0.97</v>
          </cell>
          <cell r="AE22">
            <v>1329.8422823906644</v>
          </cell>
          <cell r="AF22">
            <v>2.1108322972902949</v>
          </cell>
          <cell r="AG22">
            <v>303.04753202955624</v>
          </cell>
          <cell r="AH22">
            <v>0.86</v>
          </cell>
          <cell r="AI22">
            <v>352.38085119715839</v>
          </cell>
          <cell r="AJ22">
            <v>11.609577635096622</v>
          </cell>
          <cell r="AK22">
            <v>30.352598714003573</v>
          </cell>
        </row>
        <row r="23">
          <cell r="B23">
            <v>2.7777777777777777</v>
          </cell>
          <cell r="C23">
            <v>10</v>
          </cell>
          <cell r="W23">
            <v>6.9514339060711077</v>
          </cell>
          <cell r="X23">
            <v>276.47549920027996</v>
          </cell>
          <cell r="Z23">
            <v>0.7963434759558371</v>
          </cell>
          <cell r="AB23">
            <v>476.92842651563694</v>
          </cell>
          <cell r="AD23">
            <v>0.97</v>
          </cell>
          <cell r="AE23">
            <v>1430.7852795469107</v>
          </cell>
          <cell r="AF23">
            <v>2.3888089024299339</v>
          </cell>
          <cell r="AG23">
            <v>368.98843617469618</v>
          </cell>
          <cell r="AH23">
            <v>0.86</v>
          </cell>
          <cell r="AI23">
            <v>429.05632113336765</v>
          </cell>
          <cell r="AJ23">
            <v>13.138448963364636</v>
          </cell>
          <cell r="AK23">
            <v>32.656542817934749</v>
          </cell>
        </row>
        <row r="24">
          <cell r="B24">
            <v>3.0555555555555554</v>
          </cell>
          <cell r="C24">
            <v>11</v>
          </cell>
          <cell r="W24">
            <v>7.7709311556701035</v>
          </cell>
          <cell r="X24">
            <v>334.53535403233872</v>
          </cell>
          <cell r="Z24">
            <v>0.80657226070926835</v>
          </cell>
          <cell r="AB24">
            <v>509.67937545644014</v>
          </cell>
          <cell r="AD24">
            <v>0.97</v>
          </cell>
          <cell r="AE24">
            <v>1529.0381263693205</v>
          </cell>
          <cell r="AF24">
            <v>2.6704230775498634</v>
          </cell>
          <cell r="AG24">
            <v>440.81389018622178</v>
          </cell>
          <cell r="AH24">
            <v>0.86</v>
          </cell>
          <cell r="AI24">
            <v>512.57429091421136</v>
          </cell>
          <cell r="AJ24">
            <v>14.687326926524248</v>
          </cell>
          <cell r="AK24">
            <v>34.899086367345667</v>
          </cell>
        </row>
        <row r="25">
          <cell r="B25">
            <v>3.333333333333333</v>
          </cell>
          <cell r="C25">
            <v>12</v>
          </cell>
          <cell r="W25">
            <v>8.6160000513259813</v>
          </cell>
          <cell r="X25">
            <v>398.91231411862987</v>
          </cell>
          <cell r="Z25">
            <v>0.81570058873351003</v>
          </cell>
          <cell r="AB25">
            <v>542.01631125295626</v>
          </cell>
          <cell r="AD25">
            <v>0.97</v>
          </cell>
          <cell r="AE25">
            <v>1626.0489337588688</v>
          </cell>
          <cell r="AF25">
            <v>2.9608247599058353</v>
          </cell>
          <cell r="AG25">
            <v>519.76041266101288</v>
          </cell>
          <cell r="AH25">
            <v>0.86</v>
          </cell>
          <cell r="AI25">
            <v>604.37257286164288</v>
          </cell>
          <cell r="AJ25">
            <v>16.284536179482092</v>
          </cell>
          <cell r="AK25">
            <v>37.113281348665595</v>
          </cell>
        </row>
        <row r="26">
          <cell r="B26">
            <v>3.6111111111111112</v>
          </cell>
          <cell r="C26">
            <v>13</v>
          </cell>
          <cell r="W26">
            <v>10.200625154189343</v>
          </cell>
          <cell r="X26">
            <v>512.53579109811562</v>
          </cell>
          <cell r="Z26">
            <v>0.8145812703498202</v>
          </cell>
          <cell r="AB26">
            <v>589.02587266915157</v>
          </cell>
          <cell r="AD26">
            <v>0.97</v>
          </cell>
          <cell r="AE26">
            <v>1767.0776180074547</v>
          </cell>
          <cell r="AF26">
            <v>3.5053694687935884</v>
          </cell>
          <cell r="AG26">
            <v>668.72307539973224</v>
          </cell>
          <cell r="AH26">
            <v>0.86</v>
          </cell>
          <cell r="AI26">
            <v>777.58497139503754</v>
          </cell>
          <cell r="AJ26">
            <v>19.279532078364735</v>
          </cell>
          <cell r="AK26">
            <v>40.332149568486379</v>
          </cell>
        </row>
        <row r="27">
          <cell r="B27">
            <v>3.8888888888888888</v>
          </cell>
          <cell r="C27">
            <v>14</v>
          </cell>
          <cell r="W27">
            <v>11.804825285637344</v>
          </cell>
          <cell r="X27">
            <v>638.48888443196483</v>
          </cell>
          <cell r="Z27">
            <v>0.81485767303603196</v>
          </cell>
          <cell r="AB27">
            <v>633.84548306026113</v>
          </cell>
          <cell r="AD27">
            <v>0.97</v>
          </cell>
          <cell r="AE27">
            <v>1901.5364491807834</v>
          </cell>
          <cell r="AF27">
            <v>4.0566409916279529</v>
          </cell>
          <cell r="AG27">
            <v>832.77583200820061</v>
          </cell>
          <cell r="AH27">
            <v>0.86</v>
          </cell>
          <cell r="AI27">
            <v>968.34399070721008</v>
          </cell>
          <cell r="AJ27">
            <v>22.311525453953742</v>
          </cell>
          <cell r="AK27">
            <v>43.401066086031044</v>
          </cell>
        </row>
        <row r="28">
          <cell r="B28">
            <v>4.166666666666667</v>
          </cell>
          <cell r="C28">
            <v>15</v>
          </cell>
          <cell r="W28">
            <v>13.252782757698979</v>
          </cell>
          <cell r="X28">
            <v>764.56836510650885</v>
          </cell>
          <cell r="Z28">
            <v>0.81770189676691496</v>
          </cell>
          <cell r="AB28">
            <v>673.72959101366428</v>
          </cell>
          <cell r="AD28">
            <v>0.97</v>
          </cell>
          <cell r="AE28">
            <v>2021.1887730409928</v>
          </cell>
          <cell r="AF28">
            <v>4.5542208789343572</v>
          </cell>
          <cell r="AG28">
            <v>993.75162294594145</v>
          </cell>
          <cell r="AH28">
            <v>0.88</v>
          </cell>
          <cell r="AI28">
            <v>1129.2632078931154</v>
          </cell>
          <cell r="AJ28">
            <v>25.048214834138964</v>
          </cell>
          <cell r="AK28">
            <v>45.083580421627836</v>
          </cell>
        </row>
        <row r="29">
          <cell r="B29">
            <v>4.4444444444444446</v>
          </cell>
          <cell r="C29">
            <v>16</v>
          </cell>
          <cell r="W29">
            <v>14.719571275938161</v>
          </cell>
          <cell r="X29">
            <v>901.40581999122139</v>
          </cell>
          <cell r="Z29">
            <v>0.82074815742409768</v>
          </cell>
          <cell r="AB29">
            <v>712.50294299566292</v>
          </cell>
          <cell r="AD29">
            <v>0.97</v>
          </cell>
          <cell r="AE29">
            <v>2137.5088289869886</v>
          </cell>
          <cell r="AF29">
            <v>5.0582719161299519</v>
          </cell>
          <cell r="AG29">
            <v>1167.2583056678466</v>
          </cell>
          <cell r="AH29">
            <v>0.88</v>
          </cell>
          <cell r="AI29">
            <v>1326.4298928043711</v>
          </cell>
          <cell r="AJ29">
            <v>27.820495538714734</v>
          </cell>
          <cell r="AK29">
            <v>47.678154796291246</v>
          </cell>
        </row>
        <row r="30">
          <cell r="B30">
            <v>4.7222222222222223</v>
          </cell>
          <cell r="C30">
            <v>17</v>
          </cell>
          <cell r="W30">
            <v>16.247535775722461</v>
          </cell>
          <cell r="X30">
            <v>1052.3542098272662</v>
          </cell>
          <cell r="Z30">
            <v>0.82355426543307897</v>
          </cell>
          <cell r="AB30">
            <v>751.02363041259321</v>
          </cell>
          <cell r="AD30">
            <v>0.97</v>
          </cell>
          <cell r="AE30">
            <v>2253.0708912377795</v>
          </cell>
          <cell r="AF30">
            <v>5.5833456273960342</v>
          </cell>
          <cell r="AG30">
            <v>1358.0828137395965</v>
          </cell>
          <cell r="AH30">
            <v>0.88</v>
          </cell>
          <cell r="AI30">
            <v>1543.2759247040869</v>
          </cell>
          <cell r="AJ30">
            <v>30.708400950678186</v>
          </cell>
          <cell r="AK30">
            <v>50.255821759745658</v>
          </cell>
        </row>
        <row r="31">
          <cell r="B31">
            <v>5</v>
          </cell>
          <cell r="C31">
            <v>18</v>
          </cell>
          <cell r="W31">
            <v>17.793137209040303</v>
          </cell>
          <cell r="X31">
            <v>1214.4332497911441</v>
          </cell>
          <cell r="Z31">
            <v>0.8264362744350332</v>
          </cell>
          <cell r="AB31">
            <v>788.64786549392682</v>
          </cell>
          <cell r="AD31">
            <v>0.97</v>
          </cell>
          <cell r="AE31">
            <v>2365.9435964817803</v>
          </cell>
          <cell r="AF31">
            <v>6.1144801405636775</v>
          </cell>
          <cell r="AG31">
            <v>1561.7834250590704</v>
          </cell>
          <cell r="AH31">
            <v>0.88</v>
          </cell>
          <cell r="AI31">
            <v>1774.7538921125799</v>
          </cell>
          <cell r="AJ31">
            <v>33.629640773100228</v>
          </cell>
          <cell r="AK31">
            <v>52.77350133136644</v>
          </cell>
        </row>
        <row r="32">
          <cell r="B32">
            <v>5.2777777777777777</v>
          </cell>
          <cell r="C32">
            <v>19</v>
          </cell>
          <cell r="W32">
            <v>19.477130799622593</v>
          </cell>
          <cell r="X32">
            <v>1398.1310003631081</v>
          </cell>
          <cell r="Z32">
            <v>0.82857851706670882</v>
          </cell>
          <cell r="AB32">
            <v>827.29537723688964</v>
          </cell>
          <cell r="AD32">
            <v>0.97</v>
          </cell>
          <cell r="AE32">
            <v>2481.8861317106689</v>
          </cell>
          <cell r="AF32">
            <v>6.6931720960902377</v>
          </cell>
          <cell r="AG32">
            <v>1793.3734163906056</v>
          </cell>
          <cell r="AH32">
            <v>0.88</v>
          </cell>
          <cell r="AI32">
            <v>2037.9243368075063</v>
          </cell>
          <cell r="AJ32">
            <v>36.812446528496309</v>
          </cell>
          <cell r="AK32">
            <v>55.359654926220685</v>
          </cell>
        </row>
        <row r="33">
          <cell r="B33">
            <v>5.5555555555555554</v>
          </cell>
          <cell r="C33">
            <v>20</v>
          </cell>
          <cell r="W33">
            <v>21.184054306263242</v>
          </cell>
          <cell r="X33">
            <v>1594.5541717592446</v>
          </cell>
          <cell r="Z33">
            <v>0.8307904836706731</v>
          </cell>
          <cell r="AB33">
            <v>865.18716044301561</v>
          </cell>
          <cell r="AD33">
            <v>0.97</v>
          </cell>
          <cell r="AE33">
            <v>2595.5614813290467</v>
          </cell>
          <cell r="AF33">
            <v>7.2797437478567835</v>
          </cell>
          <cell r="AG33">
            <v>2039.8784800079791</v>
          </cell>
          <cell r="AH33">
            <v>0.88</v>
          </cell>
          <cell r="AI33">
            <v>2318.0437272817944</v>
          </cell>
          <cell r="AJ33">
            <v>40.038590613212307</v>
          </cell>
          <cell r="AK33">
            <v>57.895237863763988</v>
          </cell>
        </row>
        <row r="34">
          <cell r="B34">
            <v>5.833333333333333</v>
          </cell>
          <cell r="C34">
            <v>21</v>
          </cell>
          <cell r="W34">
            <v>23.049182862705187</v>
          </cell>
          <cell r="X34">
            <v>1816.9538479116682</v>
          </cell>
          <cell r="Z34">
            <v>0.83212073397455211</v>
          </cell>
          <cell r="AB34">
            <v>904.63503063491146</v>
          </cell>
          <cell r="AD34">
            <v>0.97</v>
          </cell>
          <cell r="AE34">
            <v>2713.9050919047345</v>
          </cell>
          <cell r="AF34">
            <v>7.9206813961186207</v>
          </cell>
          <cell r="AG34">
            <v>2320.6737189969172</v>
          </cell>
          <cell r="AH34">
            <v>0.88</v>
          </cell>
          <cell r="AI34">
            <v>2637.1292261328604</v>
          </cell>
          <cell r="AJ34">
            <v>43.563747678652412</v>
          </cell>
          <cell r="AK34">
            <v>60.534948590410998</v>
          </cell>
        </row>
        <row r="35">
          <cell r="B35">
            <v>6.1111111111111107</v>
          </cell>
          <cell r="C35">
            <v>22</v>
          </cell>
          <cell r="W35">
            <v>24.925077943570468</v>
          </cell>
          <cell r="X35">
            <v>2052.9413304988011</v>
          </cell>
          <cell r="Z35">
            <v>0.83318746803791455</v>
          </cell>
          <cell r="AB35">
            <v>943.9927655250134</v>
          </cell>
          <cell r="AD35">
            <v>0.97</v>
          </cell>
          <cell r="AE35">
            <v>2831.9782965750401</v>
          </cell>
          <cell r="AF35">
            <v>8.5653188809520504</v>
          </cell>
          <cell r="AG35">
            <v>2618.7276907825481</v>
          </cell>
          <cell r="AH35">
            <v>0.88</v>
          </cell>
          <cell r="AI35">
            <v>2975.8269213438048</v>
          </cell>
          <cell r="AJ35">
            <v>47.109253845236275</v>
          </cell>
          <cell r="AK35">
            <v>63.168627784256934</v>
          </cell>
        </row>
        <row r="36">
          <cell r="B36">
            <v>6.3888888888888884</v>
          </cell>
          <cell r="C36">
            <v>23</v>
          </cell>
          <cell r="W36">
            <v>26.953229578837615</v>
          </cell>
          <cell r="X36">
            <v>2316.4614708445506</v>
          </cell>
          <cell r="Z36">
            <v>0.83394765532940773</v>
          </cell>
          <cell r="AB36">
            <v>984.11728685428341</v>
          </cell>
          <cell r="AD36">
            <v>0.97</v>
          </cell>
          <cell r="AE36">
            <v>2952.3518605628501</v>
          </cell>
          <cell r="AF36">
            <v>9.2622782057861208</v>
          </cell>
          <cell r="AG36">
            <v>2952.1799105991417</v>
          </cell>
          <cell r="AH36">
            <v>0.88</v>
          </cell>
          <cell r="AI36">
            <v>3354.7498984081158</v>
          </cell>
          <cell r="AJ36">
            <v>50.942530131823666</v>
          </cell>
          <cell r="AK36">
            <v>65.853617590784168</v>
          </cell>
        </row>
        <row r="37">
          <cell r="B37">
            <v>6.6666666666666661</v>
          </cell>
          <cell r="C37">
            <v>24</v>
          </cell>
          <cell r="W37">
            <v>28.998724674084389</v>
          </cell>
          <cell r="X37">
            <v>2595.042701733159</v>
          </cell>
          <cell r="Z37">
            <v>0.83478994937367135</v>
          </cell>
          <cell r="AB37">
            <v>1023.6695391232981</v>
          </cell>
          <cell r="AD37">
            <v>0.97</v>
          </cell>
          <cell r="AE37">
            <v>3071.0086173698946</v>
          </cell>
          <cell r="AF37">
            <v>9.9651974825032266</v>
          </cell>
          <cell r="AG37">
            <v>3303.8766791639964</v>
          </cell>
          <cell r="AH37">
            <v>0.88</v>
          </cell>
          <cell r="AI37">
            <v>3754.405317231814</v>
          </cell>
          <cell r="AJ37">
            <v>54.808586153767742</v>
          </cell>
          <cell r="AK37">
            <v>68.500313193605749</v>
          </cell>
        </row>
        <row r="38">
          <cell r="B38">
            <v>6.9444444444444446</v>
          </cell>
          <cell r="C38">
            <v>25</v>
          </cell>
          <cell r="W38">
            <v>30.39619781416679</v>
          </cell>
          <cell r="X38">
            <v>2815.8923437843714</v>
          </cell>
          <cell r="Z38">
            <v>0.83715580817896729</v>
          </cell>
          <cell r="AB38">
            <v>1056.7247324587975</v>
          </cell>
          <cell r="AD38">
            <v>0.97</v>
          </cell>
          <cell r="AE38">
            <v>3170.1741973763924</v>
          </cell>
          <cell r="AF38">
            <v>10.445428802119171</v>
          </cell>
          <cell r="AG38">
            <v>3574.9196394196792</v>
          </cell>
          <cell r="AH38">
            <v>0.88</v>
          </cell>
          <cell r="AI38">
            <v>4062.4086811587263</v>
          </cell>
          <cell r="AJ38">
            <v>57.449858411655441</v>
          </cell>
          <cell r="AK38">
            <v>70.712248793541747</v>
          </cell>
        </row>
        <row r="39">
          <cell r="B39">
            <v>7.2222222222222223</v>
          </cell>
          <cell r="C39">
            <v>26</v>
          </cell>
          <cell r="W39">
            <v>31.80226525037957</v>
          </cell>
          <cell r="X39">
            <v>3045.6691590371756</v>
          </cell>
          <cell r="Z39">
            <v>0.83932132193275111</v>
          </cell>
          <cell r="AB39">
            <v>1089.6017600711566</v>
          </cell>
          <cell r="AD39">
            <v>0.97</v>
          </cell>
          <cell r="AE39">
            <v>3268.8052802134698</v>
          </cell>
          <cell r="AF39">
            <v>10.928613488102945</v>
          </cell>
          <cell r="AG39">
            <v>3856.6568703821399</v>
          </cell>
          <cell r="AH39">
            <v>0.88</v>
          </cell>
          <cell r="AI39">
            <v>4382.56462543425</v>
          </cell>
          <cell r="AJ39">
            <v>60.107374184566197</v>
          </cell>
          <cell r="AK39">
            <v>72.912262178965122</v>
          </cell>
        </row>
        <row r="40">
          <cell r="B40">
            <v>7.5</v>
          </cell>
          <cell r="C40">
            <v>27</v>
          </cell>
          <cell r="W40">
            <v>33.217932712661352</v>
          </cell>
          <cell r="X40">
            <v>3284.456829790091</v>
          </cell>
          <cell r="Z40">
            <v>0.84128767620733091</v>
          </cell>
          <cell r="AB40">
            <v>1122.3228675644837</v>
          </cell>
          <cell r="AD40">
            <v>0.97</v>
          </cell>
          <cell r="AE40">
            <v>3366.968602693451</v>
          </cell>
          <cell r="AF40">
            <v>11.415097152117303</v>
          </cell>
          <cell r="AG40">
            <v>4149.3069390624578</v>
          </cell>
          <cell r="AH40">
            <v>0.88</v>
          </cell>
          <cell r="AI40">
            <v>4715.1215216618839</v>
          </cell>
          <cell r="AJ40">
            <v>62.783034336645166</v>
          </cell>
          <cell r="AK40">
            <v>75.101841946332371</v>
          </cell>
        </row>
        <row r="41">
          <cell r="B41">
            <v>7.7777777777777777</v>
          </cell>
          <cell r="C41">
            <v>28</v>
          </cell>
          <cell r="W41">
            <v>34.643399687276393</v>
          </cell>
          <cell r="X41">
            <v>3532.2553560431161</v>
          </cell>
          <cell r="Z41">
            <v>0.84305928517311524</v>
          </cell>
          <cell r="AB41">
            <v>1154.9012570156226</v>
          </cell>
          <cell r="AD41">
            <v>0.97</v>
          </cell>
          <cell r="AE41">
            <v>3464.7037710468676</v>
          </cell>
          <cell r="AF41">
            <v>11.90494834614309</v>
          </cell>
          <cell r="AG41">
            <v>4452.9775731920145</v>
          </cell>
          <cell r="AH41">
            <v>0.88</v>
          </cell>
          <cell r="AI41">
            <v>5060.2017877181979</v>
          </cell>
          <cell r="AJ41">
            <v>65.477215903786998</v>
          </cell>
          <cell r="AK41">
            <v>77.281871531522029</v>
          </cell>
        </row>
        <row r="42">
          <cell r="B42">
            <v>8.0555555555555554</v>
          </cell>
          <cell r="C42">
            <v>29</v>
          </cell>
          <cell r="W42">
            <v>36.078852733870328</v>
          </cell>
          <cell r="X42">
            <v>3789.0647377962487</v>
          </cell>
          <cell r="Z42">
            <v>0.84464149690969659</v>
          </cell>
          <cell r="AB42">
            <v>1187.3486809509261</v>
          </cell>
          <cell r="AD42">
            <v>0.97</v>
          </cell>
          <cell r="AE42">
            <v>3562.0460428527786</v>
          </cell>
          <cell r="AF42">
            <v>12.398231180024167</v>
          </cell>
          <cell r="AG42">
            <v>4767.7792871427037</v>
          </cell>
          <cell r="AH42">
            <v>0.88</v>
          </cell>
          <cell r="AI42">
            <v>5417.9310081167087</v>
          </cell>
          <cell r="AJ42">
            <v>68.190271490132915</v>
          </cell>
          <cell r="AK42">
            <v>79.45313737166569</v>
          </cell>
        </row>
        <row r="43">
          <cell r="B43">
            <v>8.3333333333333339</v>
          </cell>
          <cell r="C43">
            <v>30</v>
          </cell>
          <cell r="W43">
            <v>37.524466045173199</v>
          </cell>
          <cell r="X43">
            <v>4054.8849750494969</v>
          </cell>
          <cell r="Z43">
            <v>0.84604030169056055</v>
          </cell>
          <cell r="AB43">
            <v>1219.6756359768863</v>
          </cell>
          <cell r="AD43">
            <v>0.97</v>
          </cell>
          <cell r="AE43">
            <v>3659.026907930659</v>
          </cell>
          <cell r="AF43">
            <v>12.895005513805222</v>
          </cell>
          <cell r="AG43">
            <v>5093.824983116825</v>
          </cell>
          <cell r="AH43">
            <v>0.88</v>
          </cell>
          <cell r="AI43">
            <v>5788.437480814574</v>
          </cell>
          <cell r="AJ43">
            <v>70.922530325928719</v>
          </cell>
          <cell r="AK43">
            <v>81.616341862218732</v>
          </cell>
        </row>
      </sheetData>
      <sheetData sheetId="4"/>
      <sheetData sheetId="5"/>
      <sheetData sheetId="6"/>
      <sheetData sheetId="7"/>
      <sheetData sheetId="8"/>
      <sheetData sheetId="9">
        <row r="4">
          <cell r="B4">
            <v>0</v>
          </cell>
          <cell r="H4">
            <v>0</v>
          </cell>
          <cell r="I4">
            <v>0</v>
          </cell>
          <cell r="N4">
            <v>0</v>
          </cell>
          <cell r="O4">
            <v>0</v>
          </cell>
        </row>
        <row r="5">
          <cell r="B5">
            <v>1</v>
          </cell>
          <cell r="H5">
            <v>352.89494679133281</v>
          </cell>
          <cell r="I5">
            <v>0.23688941059505259</v>
          </cell>
          <cell r="N5">
            <v>1.3028917582727892</v>
          </cell>
          <cell r="O5">
            <v>8.2463231157570718</v>
          </cell>
        </row>
        <row r="6">
          <cell r="B6">
            <v>2</v>
          </cell>
          <cell r="H6">
            <v>511.57623828428973</v>
          </cell>
          <cell r="I6">
            <v>0.44454266742163751</v>
          </cell>
          <cell r="N6">
            <v>2.4449846708190064</v>
          </cell>
          <cell r="O6">
            <v>11.954330878334346</v>
          </cell>
        </row>
        <row r="7">
          <cell r="B7">
            <v>3</v>
          </cell>
          <cell r="H7">
            <v>656.60890096918627</v>
          </cell>
          <cell r="I7">
            <v>0.67013654471839024</v>
          </cell>
          <cell r="N7">
            <v>3.6857509959511461</v>
          </cell>
          <cell r="O7">
            <v>15.343402356157034</v>
          </cell>
        </row>
        <row r="8">
          <cell r="B8">
            <v>4</v>
          </cell>
          <cell r="H8">
            <v>778.36421294846264</v>
          </cell>
          <cell r="I8">
            <v>0.86615762085473136</v>
          </cell>
          <cell r="N8">
            <v>4.7638669147010226</v>
          </cell>
          <cell r="O8">
            <v>18.188537013850521</v>
          </cell>
        </row>
        <row r="9">
          <cell r="B9">
            <v>5</v>
          </cell>
          <cell r="H9">
            <v>900.34481909348528</v>
          </cell>
          <cell r="I9">
            <v>1.1067374801599514</v>
          </cell>
          <cell r="N9">
            <v>6.0870561408797323</v>
          </cell>
          <cell r="O9">
            <v>21.038936265168061</v>
          </cell>
        </row>
        <row r="10">
          <cell r="B10">
            <v>6</v>
          </cell>
          <cell r="H10">
            <v>1013.9310040307615</v>
          </cell>
          <cell r="I10">
            <v>1.3476556415197587</v>
          </cell>
          <cell r="N10">
            <v>7.4121060283586724</v>
          </cell>
          <cell r="O10">
            <v>23.693177678924474</v>
          </cell>
        </row>
        <row r="11">
          <cell r="B11">
            <v>7</v>
          </cell>
          <cell r="H11">
            <v>1120.9728644627462</v>
          </cell>
          <cell r="I11">
            <v>1.585812398540982</v>
          </cell>
          <cell r="N11">
            <v>8.7219681919754013</v>
          </cell>
          <cell r="O11">
            <v>25.585319383257197</v>
          </cell>
        </row>
        <row r="12">
          <cell r="B12">
            <v>8</v>
          </cell>
          <cell r="H12">
            <v>1225.5600892670348</v>
          </cell>
          <cell r="I12">
            <v>1.8362227554829695</v>
          </cell>
          <cell r="N12">
            <v>10.099225155156333</v>
          </cell>
          <cell r="O12">
            <v>27.972440102105942</v>
          </cell>
        </row>
        <row r="13">
          <cell r="B13">
            <v>9</v>
          </cell>
          <cell r="H13">
            <v>1329.8422823906644</v>
          </cell>
          <cell r="I13">
            <v>2.1108322972902949</v>
          </cell>
          <cell r="N13">
            <v>11.609577635096622</v>
          </cell>
          <cell r="O13">
            <v>30.352598714003573</v>
          </cell>
        </row>
        <row r="14">
          <cell r="B14">
            <v>10</v>
          </cell>
          <cell r="H14">
            <v>1430.7852795469107</v>
          </cell>
          <cell r="I14">
            <v>2.3888089024299339</v>
          </cell>
          <cell r="N14">
            <v>13.138448963364636</v>
          </cell>
          <cell r="O14">
            <v>32.656542817934749</v>
          </cell>
        </row>
        <row r="15">
          <cell r="B15">
            <v>11</v>
          </cell>
          <cell r="H15">
            <v>1529.0381263693205</v>
          </cell>
          <cell r="I15">
            <v>2.6704230775498634</v>
          </cell>
          <cell r="N15">
            <v>14.687326926524248</v>
          </cell>
          <cell r="O15">
            <v>34.899086367345667</v>
          </cell>
        </row>
        <row r="16">
          <cell r="B16">
            <v>12</v>
          </cell>
          <cell r="H16">
            <v>1626.0489337588688</v>
          </cell>
          <cell r="I16">
            <v>2.9608247599058353</v>
          </cell>
          <cell r="N16">
            <v>16.284536179482092</v>
          </cell>
          <cell r="O16">
            <v>37.113281348665595</v>
          </cell>
        </row>
        <row r="17">
          <cell r="B17">
            <v>13</v>
          </cell>
          <cell r="H17">
            <v>1767.0776180074547</v>
          </cell>
          <cell r="I17">
            <v>3.5053694687935884</v>
          </cell>
          <cell r="N17">
            <v>19.279532078364735</v>
          </cell>
          <cell r="O17">
            <v>40.332149568486379</v>
          </cell>
        </row>
        <row r="18">
          <cell r="B18">
            <v>14</v>
          </cell>
          <cell r="H18">
            <v>1901.5364491807834</v>
          </cell>
          <cell r="I18">
            <v>4.0566409916279529</v>
          </cell>
          <cell r="N18">
            <v>22.311525453953742</v>
          </cell>
          <cell r="O18">
            <v>43.401066086031044</v>
          </cell>
        </row>
        <row r="19">
          <cell r="B19">
            <v>15</v>
          </cell>
          <cell r="H19">
            <v>2021.1887730409928</v>
          </cell>
          <cell r="I19">
            <v>4.5542208789343572</v>
          </cell>
          <cell r="N19">
            <v>25.048214834138964</v>
          </cell>
          <cell r="O19">
            <v>45.083580421627836</v>
          </cell>
        </row>
        <row r="20">
          <cell r="B20">
            <v>16</v>
          </cell>
          <cell r="H20">
            <v>2137.5088289869886</v>
          </cell>
          <cell r="I20">
            <v>5.0582719161299519</v>
          </cell>
          <cell r="N20">
            <v>27.820495538714734</v>
          </cell>
          <cell r="O20">
            <v>47.678154796291246</v>
          </cell>
        </row>
        <row r="21">
          <cell r="B21">
            <v>17</v>
          </cell>
          <cell r="H21">
            <v>2253.0708912377795</v>
          </cell>
          <cell r="I21">
            <v>5.5833456273960342</v>
          </cell>
          <cell r="N21">
            <v>30.708400950678186</v>
          </cell>
          <cell r="O21">
            <v>50.255821759745658</v>
          </cell>
        </row>
        <row r="22">
          <cell r="B22">
            <v>18</v>
          </cell>
          <cell r="H22">
            <v>2365.9435964817803</v>
          </cell>
          <cell r="I22">
            <v>6.1144801405636775</v>
          </cell>
          <cell r="N22">
            <v>33.629640773100228</v>
          </cell>
          <cell r="O22">
            <v>52.77350133136644</v>
          </cell>
        </row>
        <row r="23">
          <cell r="B23">
            <v>19</v>
          </cell>
          <cell r="H23">
            <v>2481.8861317106689</v>
          </cell>
          <cell r="I23">
            <v>6.6931720960902377</v>
          </cell>
          <cell r="N23">
            <v>36.812446528496309</v>
          </cell>
          <cell r="O23">
            <v>55.359654926220685</v>
          </cell>
        </row>
        <row r="24">
          <cell r="B24">
            <v>20</v>
          </cell>
          <cell r="H24">
            <v>2595.5614813290467</v>
          </cell>
          <cell r="I24">
            <v>7.2797437478567835</v>
          </cell>
          <cell r="N24">
            <v>40.038590613212307</v>
          </cell>
          <cell r="O24">
            <v>57.895237863763988</v>
          </cell>
        </row>
        <row r="25">
          <cell r="B25">
            <v>21</v>
          </cell>
          <cell r="H25">
            <v>2713.9050919047345</v>
          </cell>
          <cell r="I25">
            <v>7.9206813961186207</v>
          </cell>
          <cell r="N25">
            <v>43.563747678652412</v>
          </cell>
          <cell r="O25">
            <v>60.534948590410998</v>
          </cell>
        </row>
        <row r="26">
          <cell r="B26">
            <v>22</v>
          </cell>
          <cell r="H26">
            <v>2831.9782965750401</v>
          </cell>
          <cell r="I26">
            <v>8.5653188809520504</v>
          </cell>
          <cell r="N26">
            <v>47.109253845236275</v>
          </cell>
          <cell r="O26">
            <v>63.168627784256934</v>
          </cell>
        </row>
        <row r="27">
          <cell r="B27">
            <v>23</v>
          </cell>
          <cell r="H27">
            <v>2952.3518605628501</v>
          </cell>
          <cell r="I27">
            <v>9.2622782057861208</v>
          </cell>
          <cell r="N27">
            <v>50.942530131823666</v>
          </cell>
          <cell r="O27">
            <v>65.853617590784168</v>
          </cell>
        </row>
        <row r="28">
          <cell r="B28">
            <v>24</v>
          </cell>
          <cell r="H28">
            <v>3071.0086173698946</v>
          </cell>
          <cell r="I28">
            <v>9.9651974825032266</v>
          </cell>
          <cell r="N28">
            <v>54.808586153767742</v>
          </cell>
          <cell r="O28">
            <v>68.500313193605749</v>
          </cell>
        </row>
        <row r="29">
          <cell r="B29">
            <v>25</v>
          </cell>
          <cell r="H29">
            <v>3170.1741973763924</v>
          </cell>
          <cell r="I29">
            <v>10.445428802119171</v>
          </cell>
          <cell r="N29">
            <v>57.449858411655441</v>
          </cell>
          <cell r="O29">
            <v>70.712248793541747</v>
          </cell>
        </row>
        <row r="30">
          <cell r="B30">
            <v>26</v>
          </cell>
          <cell r="H30">
            <v>3268.8052802134698</v>
          </cell>
          <cell r="I30">
            <v>10.928613488102945</v>
          </cell>
          <cell r="N30">
            <v>60.107374184566197</v>
          </cell>
          <cell r="O30">
            <v>72.912262178965122</v>
          </cell>
        </row>
        <row r="31">
          <cell r="B31">
            <v>27</v>
          </cell>
          <cell r="H31">
            <v>3366.968602693451</v>
          </cell>
          <cell r="I31">
            <v>11.415097152117303</v>
          </cell>
          <cell r="N31">
            <v>62.783034336645166</v>
          </cell>
          <cell r="O31">
            <v>75.101841946332371</v>
          </cell>
        </row>
        <row r="32">
          <cell r="B32">
            <v>28</v>
          </cell>
          <cell r="H32">
            <v>3464.7037710468676</v>
          </cell>
          <cell r="I32">
            <v>11.90494834614309</v>
          </cell>
          <cell r="N32">
            <v>65.477215903786998</v>
          </cell>
          <cell r="O32">
            <v>77.281871531522029</v>
          </cell>
        </row>
        <row r="33">
          <cell r="B33">
            <v>29</v>
          </cell>
          <cell r="H33">
            <v>3562.0460428527786</v>
          </cell>
          <cell r="I33">
            <v>12.398231180024167</v>
          </cell>
          <cell r="N33">
            <v>68.190271490132915</v>
          </cell>
          <cell r="O33">
            <v>79.45313737166569</v>
          </cell>
        </row>
        <row r="34">
          <cell r="B34">
            <v>30</v>
          </cell>
          <cell r="H34">
            <v>3659.026907930659</v>
          </cell>
          <cell r="I34">
            <v>12.895005513805222</v>
          </cell>
          <cell r="N34">
            <v>70.922530325928719</v>
          </cell>
          <cell r="O34">
            <v>81.616341862218732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6B5D7-AA6A-4A8C-8923-5457A6BA6241}">
  <sheetPr codeName="Sheet1"/>
  <dimension ref="A1:I13"/>
  <sheetViews>
    <sheetView zoomScale="85" zoomScaleNormal="85" workbookViewId="0">
      <selection activeCell="E17" sqref="E17"/>
    </sheetView>
  </sheetViews>
  <sheetFormatPr defaultRowHeight="14.4"/>
  <cols>
    <col min="1" max="1" width="33.6640625" customWidth="1"/>
    <col min="2" max="2" width="7.109375" customWidth="1"/>
    <col min="3" max="3" width="27" customWidth="1"/>
    <col min="4" max="4" width="24.109375" customWidth="1"/>
    <col min="5" max="5" width="47.77734375" customWidth="1"/>
    <col min="6" max="6" width="19.6640625" customWidth="1"/>
    <col min="7" max="7" width="25.44140625" customWidth="1"/>
    <col min="8" max="8" width="23.33203125" customWidth="1"/>
    <col min="9" max="9" width="39.6640625" customWidth="1"/>
    <col min="10" max="10" width="15.6640625" customWidth="1"/>
    <col min="11" max="11" width="22" customWidth="1"/>
    <col min="12" max="12" width="27.33203125" customWidth="1"/>
    <col min="13" max="13" width="13.6640625" customWidth="1"/>
  </cols>
  <sheetData>
    <row r="1" spans="1:9">
      <c r="A1" s="21" t="s">
        <v>45</v>
      </c>
      <c r="B1" s="21"/>
      <c r="C1" s="20" t="s">
        <v>43</v>
      </c>
      <c r="D1" s="20"/>
      <c r="E1" s="22" t="s">
        <v>44</v>
      </c>
      <c r="F1" s="22"/>
      <c r="G1" s="23" t="s">
        <v>46</v>
      </c>
      <c r="H1" s="24"/>
      <c r="I1" s="18"/>
    </row>
    <row r="2" spans="1:9">
      <c r="A2" s="18" t="s">
        <v>1</v>
      </c>
      <c r="B2" s="18">
        <v>10</v>
      </c>
      <c r="C2" s="10" t="s">
        <v>2</v>
      </c>
      <c r="D2" s="19" cm="1">
        <f t="array" ref="D2">MT(B2)</f>
        <v>2.3943600000000003</v>
      </c>
      <c r="E2" s="17" t="s">
        <v>47</v>
      </c>
      <c r="F2" s="19">
        <v>0.2</v>
      </c>
      <c r="G2" s="10" t="s">
        <v>12</v>
      </c>
      <c r="H2" s="19" cm="1">
        <f t="array" ref="H2">GPL(F2,D2,F5,F6,F7,D3,F4,F10,F8,F13,F12,F11,F9)</f>
        <v>14.940146653972748</v>
      </c>
    </row>
    <row r="3" spans="1:9">
      <c r="C3" s="10" t="s">
        <v>3</v>
      </c>
      <c r="D3" s="19" cm="1">
        <f t="array" ref="D3">MN(B2)</f>
        <v>1420.3629799999999</v>
      </c>
      <c r="E3" s="17" t="s">
        <v>48</v>
      </c>
      <c r="F3" s="19">
        <v>3</v>
      </c>
      <c r="G3" s="10" t="s">
        <v>3</v>
      </c>
      <c r="H3" s="19">
        <f>D3/F3</f>
        <v>473.45432666666665</v>
      </c>
    </row>
    <row r="4" spans="1:9">
      <c r="C4" s="10" t="s">
        <v>4</v>
      </c>
      <c r="D4" s="19" cm="1">
        <f t="array" ref="D4">MPout(D2,D3)</f>
        <v>356.11102667987433</v>
      </c>
      <c r="E4" s="17" t="s">
        <v>49</v>
      </c>
      <c r="F4" s="19">
        <v>20</v>
      </c>
      <c r="G4" s="10" t="s">
        <v>13</v>
      </c>
      <c r="H4" s="19" cm="1">
        <f t="array" ref="H4">GT(H3,H2,D4)</f>
        <v>6.8817237920000434</v>
      </c>
    </row>
    <row r="5" spans="1:9">
      <c r="C5" s="10" t="s">
        <v>10</v>
      </c>
      <c r="D5" s="19" cm="1">
        <f t="array" ref="D5">MU(B2)</f>
        <v>32.569723000000018</v>
      </c>
      <c r="E5" s="17" t="s">
        <v>50</v>
      </c>
      <c r="F5" s="19">
        <v>0.3</v>
      </c>
    </row>
    <row r="6" spans="1:9">
      <c r="C6" s="10" t="s">
        <v>11</v>
      </c>
      <c r="D6" s="19" cm="1">
        <f t="array" ref="D6">MA(B2)</f>
        <v>13.317299999999999</v>
      </c>
      <c r="E6" s="17" t="s">
        <v>51</v>
      </c>
      <c r="F6" s="19">
        <v>0.26</v>
      </c>
    </row>
    <row r="7" spans="1:9">
      <c r="C7" s="10" t="s">
        <v>42</v>
      </c>
      <c r="D7" s="19" cm="1">
        <f t="array" ref="D7">MPin(D5,D6)</f>
        <v>433.74077210790023</v>
      </c>
      <c r="E7" s="17" t="s">
        <v>52</v>
      </c>
      <c r="F7" s="19">
        <v>0.22</v>
      </c>
    </row>
    <row r="8" spans="1:9">
      <c r="E8" s="17" t="s">
        <v>53</v>
      </c>
      <c r="F8" s="19">
        <v>10</v>
      </c>
    </row>
    <row r="9" spans="1:9">
      <c r="E9" s="17" t="s">
        <v>54</v>
      </c>
      <c r="F9" s="19">
        <v>0.2</v>
      </c>
    </row>
    <row r="10" spans="1:9">
      <c r="E10" s="17" t="s">
        <v>55</v>
      </c>
      <c r="F10" s="19">
        <v>1.5</v>
      </c>
    </row>
    <row r="11" spans="1:9">
      <c r="E11" s="17" t="s">
        <v>56</v>
      </c>
      <c r="F11" s="19">
        <v>0.4</v>
      </c>
    </row>
    <row r="12" spans="1:9">
      <c r="E12" s="17" t="s">
        <v>57</v>
      </c>
      <c r="F12" s="19">
        <v>2</v>
      </c>
    </row>
    <row r="13" spans="1:9">
      <c r="E13" s="17" t="s">
        <v>58</v>
      </c>
      <c r="F13" s="19">
        <v>4</v>
      </c>
    </row>
  </sheetData>
  <mergeCells count="4">
    <mergeCell ref="C1:D1"/>
    <mergeCell ref="A1:B1"/>
    <mergeCell ref="E1:F1"/>
    <mergeCell ref="G1:H1"/>
  </mergeCells>
  <phoneticPr fontId="5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07165-6618-4021-98DB-B4E766A9492E}">
  <sheetPr codeName="Sheet3"/>
  <dimension ref="A1:J76"/>
  <sheetViews>
    <sheetView zoomScale="85" zoomScaleNormal="85" workbookViewId="0">
      <selection activeCell="E20" sqref="E20"/>
    </sheetView>
  </sheetViews>
  <sheetFormatPr defaultRowHeight="14.4"/>
  <cols>
    <col min="1" max="1" width="39.109375" customWidth="1"/>
    <col min="2" max="2" width="27" customWidth="1"/>
    <col min="3" max="3" width="27.5546875" customWidth="1"/>
    <col min="4" max="4" width="9.88671875" customWidth="1"/>
    <col min="5" max="5" width="41.33203125" customWidth="1"/>
    <col min="6" max="6" width="21.109375" customWidth="1"/>
    <col min="7" max="7" width="15.109375" customWidth="1"/>
    <col min="8" max="8" width="23.33203125" customWidth="1"/>
    <col min="9" max="9" width="13.5546875" customWidth="1"/>
    <col min="10" max="10" width="13.33203125" customWidth="1"/>
  </cols>
  <sheetData>
    <row r="1" spans="1:10" ht="18">
      <c r="E1" s="7" t="s">
        <v>41</v>
      </c>
      <c r="F1" cm="1">
        <f t="array" ref="F1">Eff(' Realistic calculation'!D5)</f>
        <v>0.86</v>
      </c>
    </row>
    <row r="2" spans="1:10" ht="18">
      <c r="E2" s="8" t="s">
        <v>17</v>
      </c>
      <c r="F2">
        <v>0.18</v>
      </c>
    </row>
    <row r="3" spans="1:10" ht="18">
      <c r="E3" s="8" t="s">
        <v>19</v>
      </c>
      <c r="F3">
        <v>3</v>
      </c>
    </row>
    <row r="6" spans="1:10">
      <c r="A6" s="11" t="s">
        <v>14</v>
      </c>
      <c r="B6" s="9" t="s">
        <v>26</v>
      </c>
      <c r="C6" s="9" t="s">
        <v>32</v>
      </c>
      <c r="E6" s="11" t="s">
        <v>15</v>
      </c>
      <c r="F6" s="11" t="s">
        <v>26</v>
      </c>
      <c r="G6" s="11" t="s">
        <v>27</v>
      </c>
      <c r="H6" s="11" t="s">
        <v>16</v>
      </c>
      <c r="I6" s="11" t="s">
        <v>28</v>
      </c>
      <c r="J6" s="11" t="s">
        <v>29</v>
      </c>
    </row>
    <row r="7" spans="1:10">
      <c r="B7">
        <v>476.9</v>
      </c>
      <c r="C7">
        <v>6.9</v>
      </c>
      <c r="D7" s="1"/>
      <c r="F7">
        <f>F3*B7</f>
        <v>1430.6999999999998</v>
      </c>
      <c r="G7">
        <f>C7/F3</f>
        <v>2.3000000000000003</v>
      </c>
      <c r="I7">
        <f>I9/J7</f>
        <v>31.355899184220132</v>
      </c>
      <c r="J7">
        <f>9.55*F9/F7/F2</f>
        <v>14.079408092896902</v>
      </c>
    </row>
    <row r="8" spans="1:10">
      <c r="D8" s="1"/>
      <c r="E8" s="11" t="s">
        <v>40</v>
      </c>
      <c r="F8" s="12">
        <f>D17+D76</f>
        <v>35.099858484959917</v>
      </c>
    </row>
    <row r="9" spans="1:10">
      <c r="D9" s="1"/>
      <c r="E9" s="11" t="s">
        <v>31</v>
      </c>
      <c r="F9">
        <f>(G7*F7/9.55)+F8</f>
        <v>379.66635063155672</v>
      </c>
      <c r="H9" s="11" t="s">
        <v>30</v>
      </c>
      <c r="I9">
        <f>F9/F1</f>
        <v>441.47250073436828</v>
      </c>
    </row>
    <row r="10" spans="1:10">
      <c r="D10" s="1"/>
    </row>
    <row r="11" spans="1:10">
      <c r="D11" s="1"/>
    </row>
    <row r="12" spans="1:10">
      <c r="D12" s="1"/>
    </row>
    <row r="13" spans="1:10">
      <c r="B13" s="14" t="s">
        <v>20</v>
      </c>
      <c r="D13" s="1"/>
    </row>
    <row r="14" spans="1:10">
      <c r="A14" s="6" t="s">
        <v>18</v>
      </c>
      <c r="B14">
        <f>COS(' Realistic calculation'!F4*3.14/180)</f>
        <v>0.9397531304731841</v>
      </c>
      <c r="D14" s="1"/>
    </row>
    <row r="15" spans="1:10">
      <c r="C15" t="s">
        <v>36</v>
      </c>
      <c r="D15" s="1"/>
    </row>
    <row r="16" spans="1:10">
      <c r="D16" s="16" t="s">
        <v>21</v>
      </c>
    </row>
    <row r="17" spans="3:4">
      <c r="D17" s="15">
        <f>D25*D49/60</f>
        <v>35.09984</v>
      </c>
    </row>
    <row r="18" spans="3:4">
      <c r="D18" s="1"/>
    </row>
    <row r="24" spans="3:4">
      <c r="C24" t="s">
        <v>37</v>
      </c>
      <c r="D24" s="13" t="s">
        <v>22</v>
      </c>
    </row>
    <row r="25" spans="3:4">
      <c r="D25">
        <f>D36*' Realistic calculation'!F2</f>
        <v>3.2632683704097278</v>
      </c>
    </row>
    <row r="35" spans="3:5">
      <c r="D35" s="13" t="s">
        <v>23</v>
      </c>
    </row>
    <row r="36" spans="3:5">
      <c r="D36">
        <f>D39/B14</f>
        <v>16.316341852048637</v>
      </c>
    </row>
    <row r="38" spans="3:5">
      <c r="D38" s="13" t="s">
        <v>24</v>
      </c>
    </row>
    <row r="39" spans="3:5">
      <c r="D39">
        <f>2*G7/' Realistic calculation'!F5</f>
        <v>15.333333333333336</v>
      </c>
    </row>
    <row r="47" spans="3:5">
      <c r="C47" t="s">
        <v>38</v>
      </c>
      <c r="E47" s="12"/>
    </row>
    <row r="48" spans="3:5">
      <c r="D48" t="s">
        <v>25</v>
      </c>
    </row>
    <row r="49" spans="3:4">
      <c r="D49">
        <f>(' Realistic calculation'!F6+' Realistic calculation'!F7)*'Theoretical calculation'!F7*COS(3.14*' Realistic calculation'!F4/180)</f>
        <v>645.36230580863241</v>
      </c>
    </row>
    <row r="60" spans="3:4">
      <c r="C60" t="s">
        <v>39</v>
      </c>
    </row>
    <row r="69" spans="4:4">
      <c r="D69" s="13" t="s">
        <v>34</v>
      </c>
    </row>
    <row r="70" spans="4:4">
      <c r="D70">
        <f>F7*' Realistic calculation'!F5/9.8</f>
        <v>43.796938775510192</v>
      </c>
    </row>
    <row r="72" spans="4:4">
      <c r="D72" s="13" t="s">
        <v>33</v>
      </c>
    </row>
    <row r="73" spans="4:4">
      <c r="D73">
        <f>' Realistic calculation'!F13*(' Realistic calculation'!F5^2)*'Theoretical calculation'!F7/' Realistic calculation'!F12</f>
        <v>257.52599999999995</v>
      </c>
    </row>
    <row r="75" spans="4:4">
      <c r="D75" t="s">
        <v>35</v>
      </c>
    </row>
    <row r="76" spans="4:4">
      <c r="D76">
        <f>1.177*(' Realistic calculation'!F10^0.0214)*(' Realistic calculation'!F8^0.0106)*' Realistic calculation'!F13*(' Realistic calculation'!F5^5)*((1/'Theoretical calculation'!D73)^0.34)*((1/'Theoretical calculation'!D70)^0.61)*(' Realistic calculation'!F11^0.35)*(' Realistic calculation'!F9^1.21)</f>
        <v>1.8484959917560381E-5</v>
      </c>
    </row>
  </sheetData>
  <phoneticPr fontId="5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D1A33-BCC4-4EB7-81A3-469EA839C695}">
  <sheetPr codeName="Sheet4"/>
  <dimension ref="A1:U34"/>
  <sheetViews>
    <sheetView tabSelected="1" topLeftCell="A10" zoomScale="86" workbookViewId="0">
      <selection activeCell="H34" sqref="H34"/>
    </sheetView>
  </sheetViews>
  <sheetFormatPr defaultRowHeight="14.4"/>
  <sheetData>
    <row r="1" spans="1:21">
      <c r="A1" s="25" t="s">
        <v>5</v>
      </c>
      <c r="B1" s="25"/>
      <c r="C1" s="26" t="s">
        <v>6</v>
      </c>
      <c r="D1" s="26"/>
      <c r="E1" s="26"/>
      <c r="F1" s="26"/>
      <c r="G1" s="3" t="s">
        <v>7</v>
      </c>
      <c r="H1" s="27" t="s">
        <v>8</v>
      </c>
      <c r="I1" s="27"/>
      <c r="J1" s="27"/>
      <c r="K1" s="27"/>
      <c r="L1" s="27"/>
      <c r="M1" s="27"/>
      <c r="N1" s="27"/>
      <c r="O1" s="27"/>
    </row>
    <row r="2" spans="1:21" ht="66.599999999999994">
      <c r="A2" s="2" t="s">
        <v>9</v>
      </c>
      <c r="B2" s="2" t="s">
        <v>9</v>
      </c>
      <c r="C2" s="2" t="s">
        <v>0</v>
      </c>
      <c r="D2" s="4" t="str">
        <f>'[1]propulsion MAROF'!X11</f>
        <v>Power out (from prop. Eff.)</v>
      </c>
      <c r="E2" s="4" t="str">
        <f>'[1]propulsion MAROF'!Z11</f>
        <v>propeller efficiency</v>
      </c>
      <c r="F2" s="2" t="str">
        <f>'[1]propulsion MAROF'!AB11</f>
        <v>n,prop</v>
      </c>
      <c r="G2" s="2" t="str">
        <f>'[1]propulsion MAROF'!AD11</f>
        <v>eta</v>
      </c>
      <c r="H2" s="2" t="str">
        <f>'[1]propulsion MAROF'!AE11</f>
        <v>n,motor</v>
      </c>
      <c r="I2" s="4" t="str">
        <f>'[1]propulsion MAROF'!AF11</f>
        <v>torque,motor</v>
      </c>
      <c r="J2" s="4" t="str">
        <f>'[1]propulsion MAROF'!AG11</f>
        <v>P,motor, out</v>
      </c>
      <c r="K2" s="2" t="str">
        <f>'[1]propulsion MAROF'!AH11</f>
        <v>eta</v>
      </c>
      <c r="L2" s="2" t="str">
        <f>K2</f>
        <v>eta</v>
      </c>
      <c r="M2" s="4" t="str">
        <f>'[1]propulsion MAROF'!AI11</f>
        <v>P_in_elekt</v>
      </c>
      <c r="N2" s="2" t="str">
        <f>'[1]propulsion MAROF'!AJ11</f>
        <v>current</v>
      </c>
      <c r="O2" s="2" t="str">
        <f>'[1]propulsion MAROF'!AK11</f>
        <v>voltage</v>
      </c>
      <c r="P2" s="2" t="str">
        <f>B2</f>
        <v>Speed</v>
      </c>
    </row>
    <row r="3" spans="1:21">
      <c r="A3" s="2" t="str">
        <f>'[1]propulsion MAROF'!B12</f>
        <v>[m/s]</v>
      </c>
      <c r="B3" s="2" t="str">
        <f>'[1]propulsion MAROF'!C12</f>
        <v>[km/h]</v>
      </c>
      <c r="C3" s="2" t="str">
        <f>'[1]propulsion MAROF'!W12</f>
        <v>[Nm]</v>
      </c>
      <c r="D3" s="2" t="str">
        <f>'[1]propulsion MAROF'!X12</f>
        <v>[W]</v>
      </c>
      <c r="E3" s="2" t="str">
        <f>'[1]propulsion MAROF'!Z12</f>
        <v>[%]</v>
      </c>
      <c r="F3" s="2" t="str">
        <f>'[1]propulsion MAROF'!AB12</f>
        <v>[RPM]</v>
      </c>
      <c r="G3" s="2" t="str">
        <f>'[1]propulsion MAROF'!AD12</f>
        <v>[-]</v>
      </c>
      <c r="H3" s="2" t="str">
        <f>'[1]propulsion MAROF'!AE12</f>
        <v>[RPM]</v>
      </c>
      <c r="I3" s="2" t="str">
        <f>'[1]propulsion MAROF'!AF12</f>
        <v>[Nm]</v>
      </c>
      <c r="J3" s="2" t="str">
        <f>'[1]propulsion MAROF'!AG12</f>
        <v>[W]</v>
      </c>
      <c r="K3" s="2" t="str">
        <f>'[1]propulsion MAROF'!AH12</f>
        <v>[-]</v>
      </c>
      <c r="L3" s="2" t="str">
        <f>K3</f>
        <v>[-]</v>
      </c>
      <c r="M3" s="2" t="str">
        <f>'[1]propulsion MAROF'!AI12</f>
        <v>[W]</v>
      </c>
      <c r="N3" s="2" t="str">
        <f>'[1]propulsion MAROF'!AJ12</f>
        <v>[A]</v>
      </c>
      <c r="O3" s="2" t="str">
        <f>'[1]propulsion MAROF'!AK12</f>
        <v>[V]</v>
      </c>
      <c r="P3" s="2" t="str">
        <f t="shared" ref="P3:P34" si="0">B3</f>
        <v>[km/h]</v>
      </c>
    </row>
    <row r="4" spans="1:21">
      <c r="A4">
        <f>'[1]propulsion MAROF'!B13</f>
        <v>0</v>
      </c>
      <c r="B4">
        <f>'[1]propulsion MAROF'!C13</f>
        <v>0</v>
      </c>
      <c r="C4">
        <f>'[1]propulsion MAROF'!W13</f>
        <v>0</v>
      </c>
      <c r="D4">
        <f>'[1]propulsion MAROF'!X13</f>
        <v>0</v>
      </c>
      <c r="E4">
        <f>'[1]propulsion MAROF'!Z13</f>
        <v>0</v>
      </c>
      <c r="F4">
        <f>'[1]propulsion MAROF'!AB13</f>
        <v>0</v>
      </c>
      <c r="G4">
        <f>'[1]propulsion MAROF'!AD13</f>
        <v>0.97</v>
      </c>
      <c r="H4">
        <f>'[1]propulsion MAROF'!AE13</f>
        <v>0</v>
      </c>
      <c r="I4">
        <f>'[1]propulsion MAROF'!AF13</f>
        <v>0</v>
      </c>
      <c r="J4">
        <f>'[1]propulsion MAROF'!AG13</f>
        <v>0</v>
      </c>
      <c r="K4">
        <f>'[1]propulsion MAROF'!AH13</f>
        <v>0.84</v>
      </c>
      <c r="L4">
        <f>K4*100</f>
        <v>84</v>
      </c>
      <c r="M4">
        <f>'[1]propulsion MAROF'!AI13</f>
        <v>0</v>
      </c>
      <c r="N4">
        <f>'[1]propulsion MAROF'!AJ13</f>
        <v>0</v>
      </c>
      <c r="O4">
        <f>'[1]propulsion MAROF'!AK13</f>
        <v>0</v>
      </c>
      <c r="P4">
        <f t="shared" si="0"/>
        <v>0</v>
      </c>
    </row>
    <row r="5" spans="1:21">
      <c r="A5">
        <f>'[1]propulsion MAROF'!B14</f>
        <v>0.27777777777777779</v>
      </c>
      <c r="B5">
        <f>'[1]propulsion MAROF'!C14</f>
        <v>1</v>
      </c>
      <c r="C5">
        <f>'[1]propulsion MAROF'!W14</f>
        <v>0.68934818483160309</v>
      </c>
      <c r="D5">
        <f>'[1]propulsion MAROF'!X14</f>
        <v>2.7647549920027985</v>
      </c>
      <c r="E5">
        <f>'[1]propulsion MAROF'!Z14</f>
        <v>0.32558561724350005</v>
      </c>
      <c r="F5">
        <f>'[1]propulsion MAROF'!AB14</f>
        <v>117.63164893044427</v>
      </c>
      <c r="G5">
        <f>'[1]propulsion MAROF'!AD14</f>
        <v>0.97</v>
      </c>
      <c r="H5">
        <f>'[1]propulsion MAROF'!AE14</f>
        <v>352.89494679133281</v>
      </c>
      <c r="I5">
        <f>'[1]propulsion MAROF'!AF14</f>
        <v>0.23688941059505259</v>
      </c>
      <c r="J5">
        <f>'[1]propulsion MAROF'!AG14</f>
        <v>9.0250157958023927</v>
      </c>
      <c r="K5">
        <f>'[1]propulsion MAROF'!AH14</f>
        <v>0.84</v>
      </c>
      <c r="L5">
        <f t="shared" ref="L5:L34" si="1">K5*100</f>
        <v>84</v>
      </c>
      <c r="M5">
        <f>'[1]propulsion MAROF'!AI14</f>
        <v>10.744066423574278</v>
      </c>
      <c r="N5">
        <f>'[1]propulsion MAROF'!AJ14</f>
        <v>1.3028917582727892</v>
      </c>
      <c r="O5">
        <f>'[1]propulsion MAROF'!AK14</f>
        <v>8.2463231157570718</v>
      </c>
      <c r="P5">
        <f t="shared" si="0"/>
        <v>1</v>
      </c>
    </row>
    <row r="6" spans="1:21">
      <c r="A6">
        <f>'[1]propulsion MAROF'!B15</f>
        <v>0.55555555555555558</v>
      </c>
      <c r="B6">
        <f>'[1]propulsion MAROF'!C15</f>
        <v>2</v>
      </c>
      <c r="C6">
        <f>'[1]propulsion MAROF'!W15</f>
        <v>1.2936191621969653</v>
      </c>
      <c r="D6">
        <f>'[1]propulsion MAROF'!X15</f>
        <v>11.059019968011199</v>
      </c>
      <c r="E6">
        <f>'[1]propulsion MAROF'!Z15</f>
        <v>0.47873201832554035</v>
      </c>
      <c r="F6">
        <f>'[1]propulsion MAROF'!AB15</f>
        <v>170.52541276142992</v>
      </c>
      <c r="G6">
        <f>'[1]propulsion MAROF'!AD15</f>
        <v>0.97</v>
      </c>
      <c r="H6">
        <f>'[1]propulsion MAROF'!AE15</f>
        <v>511.57623828428973</v>
      </c>
      <c r="I6">
        <f>'[1]propulsion MAROF'!AF15</f>
        <v>0.44454266742163751</v>
      </c>
      <c r="J6">
        <f>'[1]propulsion MAROF'!AG15</f>
        <v>24.551650827837658</v>
      </c>
      <c r="K6">
        <f>'[1]propulsion MAROF'!AH15</f>
        <v>0.84</v>
      </c>
      <c r="L6">
        <f t="shared" si="1"/>
        <v>84</v>
      </c>
      <c r="M6">
        <f>'[1]propulsion MAROF'!AI15</f>
        <v>29.228155747425784</v>
      </c>
      <c r="N6">
        <f>'[1]propulsion MAROF'!AJ15</f>
        <v>2.4449846708190064</v>
      </c>
      <c r="O6">
        <f>'[1]propulsion MAROF'!AK15</f>
        <v>11.954330878334346</v>
      </c>
      <c r="P6">
        <f t="shared" si="0"/>
        <v>2</v>
      </c>
      <c r="T6">
        <v>24</v>
      </c>
      <c r="U6">
        <v>0.85</v>
      </c>
    </row>
    <row r="7" spans="1:21">
      <c r="A7">
        <f>'[1]propulsion MAROF'!B16</f>
        <v>0.83333333333333326</v>
      </c>
      <c r="B7">
        <f>'[1]propulsion MAROF'!C16</f>
        <v>3</v>
      </c>
      <c r="C7">
        <f>'[1]propulsion MAROF'!W16</f>
        <v>1.9500973451305157</v>
      </c>
      <c r="D7">
        <f>'[1]propulsion MAROF'!X16</f>
        <v>24.882794928025181</v>
      </c>
      <c r="E7">
        <f>'[1]propulsion MAROF'!Z16</f>
        <v>0.55670963830512532</v>
      </c>
      <c r="F7">
        <f>'[1]propulsion MAROF'!AB16</f>
        <v>218.86963365639542</v>
      </c>
      <c r="G7">
        <f>'[1]propulsion MAROF'!AD16</f>
        <v>0.97</v>
      </c>
      <c r="H7">
        <f>'[1]propulsion MAROF'!AE16</f>
        <v>656.60890096918627</v>
      </c>
      <c r="I7">
        <f>'[1]propulsion MAROF'!AF16</f>
        <v>0.67013654471839024</v>
      </c>
      <c r="J7">
        <f>'[1]propulsion MAROF'!AG16</f>
        <v>47.503646833007359</v>
      </c>
      <c r="K7">
        <f>'[1]propulsion MAROF'!AH16</f>
        <v>0.84</v>
      </c>
      <c r="L7">
        <f t="shared" si="1"/>
        <v>84</v>
      </c>
      <c r="M7">
        <f>'[1]propulsion MAROF'!AI16</f>
        <v>56.55196051548495</v>
      </c>
      <c r="N7">
        <f>'[1]propulsion MAROF'!AJ16</f>
        <v>3.6857509959511461</v>
      </c>
      <c r="O7">
        <f>'[1]propulsion MAROF'!AK16</f>
        <v>15.343402356157034</v>
      </c>
      <c r="P7">
        <f t="shared" si="0"/>
        <v>3</v>
      </c>
      <c r="T7">
        <v>36</v>
      </c>
      <c r="U7">
        <v>0.86</v>
      </c>
    </row>
    <row r="8" spans="1:21">
      <c r="A8">
        <f>'[1]propulsion MAROF'!B17</f>
        <v>1.1111111111111112</v>
      </c>
      <c r="B8">
        <f>'[1]propulsion MAROF'!C17</f>
        <v>4</v>
      </c>
      <c r="C8">
        <f>'[1]propulsion MAROF'!W17</f>
        <v>2.5205186766872685</v>
      </c>
      <c r="D8">
        <f>'[1]propulsion MAROF'!X17</f>
        <v>44.236079872044783</v>
      </c>
      <c r="E8">
        <f>'[1]propulsion MAROF'!Z17</f>
        <v>0.64594641224803473</v>
      </c>
      <c r="F8">
        <f>'[1]propulsion MAROF'!AB17</f>
        <v>259.45473764948753</v>
      </c>
      <c r="G8">
        <f>'[1]propulsion MAROF'!AD17</f>
        <v>0.97</v>
      </c>
      <c r="H8">
        <f>'[1]propulsion MAROF'!AE17</f>
        <v>778.36421294846264</v>
      </c>
      <c r="I8">
        <f>'[1]propulsion MAROF'!AF17</f>
        <v>0.86615762085473136</v>
      </c>
      <c r="J8">
        <f>'[1]propulsion MAROF'!AG17</f>
        <v>72.784126553961841</v>
      </c>
      <c r="K8">
        <f>'[1]propulsion MAROF'!AH17</f>
        <v>0.84</v>
      </c>
      <c r="L8">
        <f t="shared" si="1"/>
        <v>84</v>
      </c>
      <c r="M8">
        <f>'[1]propulsion MAROF'!AI17</f>
        <v>86.647769707097439</v>
      </c>
      <c r="N8">
        <f>'[1]propulsion MAROF'!AJ17</f>
        <v>4.7638669147010226</v>
      </c>
      <c r="O8">
        <f>'[1]propulsion MAROF'!AK17</f>
        <v>18.188537013850521</v>
      </c>
      <c r="P8">
        <f t="shared" si="0"/>
        <v>4</v>
      </c>
      <c r="T8">
        <v>48</v>
      </c>
      <c r="U8">
        <v>0.88</v>
      </c>
    </row>
    <row r="9" spans="1:21">
      <c r="A9">
        <f>'[1]propulsion MAROF'!B18</f>
        <v>1.3888888888888888</v>
      </c>
      <c r="B9">
        <f>'[1]propulsion MAROF'!C18</f>
        <v>5</v>
      </c>
      <c r="C9">
        <f>'[1]propulsion MAROF'!W18</f>
        <v>3.2206060672654591</v>
      </c>
      <c r="D9">
        <f>'[1]propulsion MAROF'!X18</f>
        <v>69.118874800069975</v>
      </c>
      <c r="E9">
        <f>'[1]propulsion MAROF'!Z18</f>
        <v>0.68287752555599446</v>
      </c>
      <c r="F9">
        <f>'[1]propulsion MAROF'!AB18</f>
        <v>300.11493969782845</v>
      </c>
      <c r="G9">
        <f>'[1]propulsion MAROF'!AD18</f>
        <v>0.97</v>
      </c>
      <c r="H9">
        <f>'[1]propulsion MAROF'!AE18</f>
        <v>900.34481909348528</v>
      </c>
      <c r="I9">
        <f>'[1]propulsion MAROF'!AF18</f>
        <v>1.1067374801599514</v>
      </c>
      <c r="J9">
        <f>'[1]propulsion MAROF'!AG18</f>
        <v>107.57475639999359</v>
      </c>
      <c r="K9">
        <f>'[1]propulsion MAROF'!AH18</f>
        <v>0.84</v>
      </c>
      <c r="L9">
        <f t="shared" si="1"/>
        <v>84</v>
      </c>
      <c r="M9">
        <f>'[1]propulsion MAROF'!AI18</f>
        <v>128.06518619046855</v>
      </c>
      <c r="N9">
        <f>'[1]propulsion MAROF'!AJ18</f>
        <v>6.0870561408797323</v>
      </c>
      <c r="O9">
        <f>'[1]propulsion MAROF'!AK18</f>
        <v>21.038936265168061</v>
      </c>
      <c r="P9">
        <f t="shared" si="0"/>
        <v>5</v>
      </c>
      <c r="T9">
        <v>60</v>
      </c>
      <c r="U9">
        <v>0.88</v>
      </c>
    </row>
    <row r="10" spans="1:21">
      <c r="A10">
        <f>'[1]propulsion MAROF'!B19</f>
        <v>1.6666666666666665</v>
      </c>
      <c r="B10">
        <f>'[1]propulsion MAROF'!C19</f>
        <v>6</v>
      </c>
      <c r="C10">
        <f>'[1]propulsion MAROF'!W19</f>
        <v>3.9216779168224978</v>
      </c>
      <c r="D10">
        <f>'[1]propulsion MAROF'!X19</f>
        <v>99.531179712100752</v>
      </c>
      <c r="E10">
        <f>'[1]propulsion MAROF'!Z19</f>
        <v>0.71708636152769356</v>
      </c>
      <c r="F10">
        <f>'[1]propulsion MAROF'!AB19</f>
        <v>337.97700134358718</v>
      </c>
      <c r="G10">
        <f>'[1]propulsion MAROF'!AD19</f>
        <v>0.97</v>
      </c>
      <c r="H10">
        <f>'[1]propulsion MAROF'!AE19</f>
        <v>1013.9310040307615</v>
      </c>
      <c r="I10">
        <f>'[1]propulsion MAROF'!AF19</f>
        <v>1.3476556415197587</v>
      </c>
      <c r="J10">
        <f>'[1]propulsion MAROF'!AG19</f>
        <v>147.51772988814054</v>
      </c>
      <c r="K10">
        <f>'[1]propulsion MAROF'!AH19</f>
        <v>0.84</v>
      </c>
      <c r="L10">
        <f t="shared" si="1"/>
        <v>84</v>
      </c>
      <c r="M10">
        <f>'[1]propulsion MAROF'!AI19</f>
        <v>175.61634510492922</v>
      </c>
      <c r="N10">
        <f>'[1]propulsion MAROF'!AJ19</f>
        <v>7.4121060283586724</v>
      </c>
      <c r="O10">
        <f>'[1]propulsion MAROF'!AK19</f>
        <v>23.693177678924474</v>
      </c>
      <c r="P10">
        <f t="shared" si="0"/>
        <v>6</v>
      </c>
      <c r="T10">
        <v>72</v>
      </c>
      <c r="U10">
        <v>0.91</v>
      </c>
    </row>
    <row r="11" spans="1:21">
      <c r="A11">
        <f>'[1]propulsion MAROF'!B20</f>
        <v>1.9444444444444444</v>
      </c>
      <c r="B11">
        <f>'[1]propulsion MAROF'!C20</f>
        <v>7</v>
      </c>
      <c r="C11">
        <f>'[1]propulsion MAROF'!W20</f>
        <v>4.6147140797542576</v>
      </c>
      <c r="D11">
        <f>'[1]propulsion MAROF'!X20</f>
        <v>135.47299460813707</v>
      </c>
      <c r="E11">
        <f>'[1]propulsion MAROF'!Z20</f>
        <v>0.75024907726364887</v>
      </c>
      <c r="F11">
        <f>'[1]propulsion MAROF'!AB20</f>
        <v>373.65762148758205</v>
      </c>
      <c r="G11">
        <f>'[1]propulsion MAROF'!AD20</f>
        <v>0.97</v>
      </c>
      <c r="H11">
        <f>'[1]propulsion MAROF'!AE20</f>
        <v>1120.9728644627462</v>
      </c>
      <c r="I11">
        <f>'[1]propulsion MAROF'!AF20</f>
        <v>1.585812398540982</v>
      </c>
      <c r="J11">
        <f>'[1]propulsion MAROF'!AG20</f>
        <v>191.91273398437883</v>
      </c>
      <c r="K11">
        <f>'[1]propulsion MAROF'!AH20</f>
        <v>0.86</v>
      </c>
      <c r="L11">
        <f t="shared" si="1"/>
        <v>86</v>
      </c>
      <c r="M11">
        <f>'[1]propulsion MAROF'!AI20</f>
        <v>223.15434184230097</v>
      </c>
      <c r="N11">
        <f>'[1]propulsion MAROF'!AJ20</f>
        <v>8.7219681919754013</v>
      </c>
      <c r="O11">
        <f>'[1]propulsion MAROF'!AK20</f>
        <v>25.585319383257197</v>
      </c>
      <c r="P11">
        <f t="shared" si="0"/>
        <v>7</v>
      </c>
    </row>
    <row r="12" spans="1:21">
      <c r="A12">
        <f>'[1]propulsion MAROF'!B21</f>
        <v>2.2222222222222223</v>
      </c>
      <c r="B12">
        <f>'[1]propulsion MAROF'!C21</f>
        <v>8</v>
      </c>
      <c r="C12">
        <f>'[1]propulsion MAROF'!W21</f>
        <v>5.3434082184554414</v>
      </c>
      <c r="D12">
        <f>'[1]propulsion MAROF'!X21</f>
        <v>176.94431948817908</v>
      </c>
      <c r="E12">
        <f>'[1]propulsion MAROF'!Z21</f>
        <v>0.7740629806512781</v>
      </c>
      <c r="F12">
        <f>'[1]propulsion MAROF'!AB21</f>
        <v>408.52002975567825</v>
      </c>
      <c r="G12">
        <f>'[1]propulsion MAROF'!AD21</f>
        <v>0.97</v>
      </c>
      <c r="H12">
        <f>'[1]propulsion MAROF'!AE21</f>
        <v>1225.5600892670348</v>
      </c>
      <c r="I12">
        <f>'[1]propulsion MAROF'!AF21</f>
        <v>1.8362227554829695</v>
      </c>
      <c r="J12">
        <f>'[1]propulsion MAROF'!AG21</f>
        <v>242.94997482805118</v>
      </c>
      <c r="K12">
        <f>'[1]propulsion MAROF'!AH21</f>
        <v>0.86</v>
      </c>
      <c r="L12">
        <f t="shared" si="1"/>
        <v>86</v>
      </c>
      <c r="M12">
        <f>'[1]propulsion MAROF'!AI21</f>
        <v>282.49997073029209</v>
      </c>
      <c r="N12">
        <f>'[1]propulsion MAROF'!AJ21</f>
        <v>10.099225155156333</v>
      </c>
      <c r="O12">
        <f>'[1]propulsion MAROF'!AK21</f>
        <v>27.972440102105942</v>
      </c>
      <c r="P12">
        <f t="shared" si="0"/>
        <v>8</v>
      </c>
    </row>
    <row r="13" spans="1:21">
      <c r="A13">
        <f>'[1]propulsion MAROF'!B22</f>
        <v>2.5</v>
      </c>
      <c r="B13">
        <f>'[1]propulsion MAROF'!C22</f>
        <v>9</v>
      </c>
      <c r="C13">
        <f>'[1]propulsion MAROF'!W22</f>
        <v>6.1425219851147581</v>
      </c>
      <c r="D13">
        <f>'[1]propulsion MAROF'!X22</f>
        <v>223.94515435222675</v>
      </c>
      <c r="E13">
        <f>'[1]propulsion MAROF'!Z22</f>
        <v>0.78539376587296628</v>
      </c>
      <c r="F13">
        <f>'[1]propulsion MAROF'!AB22</f>
        <v>443.28076079688816</v>
      </c>
      <c r="G13">
        <f>'[1]propulsion MAROF'!AD22</f>
        <v>0.97</v>
      </c>
      <c r="H13">
        <f>'[1]propulsion MAROF'!AE22</f>
        <v>1329.8422823906644</v>
      </c>
      <c r="I13">
        <f>'[1]propulsion MAROF'!AF22</f>
        <v>2.1108322972902949</v>
      </c>
      <c r="J13">
        <f>'[1]propulsion MAROF'!AG22</f>
        <v>303.04753202955624</v>
      </c>
      <c r="K13">
        <f>'[1]propulsion MAROF'!AH22</f>
        <v>0.86</v>
      </c>
      <c r="L13">
        <f t="shared" si="1"/>
        <v>86</v>
      </c>
      <c r="M13">
        <f>'[1]propulsion MAROF'!AI22</f>
        <v>352.38085119715839</v>
      </c>
      <c r="N13">
        <f>'[1]propulsion MAROF'!AJ22</f>
        <v>11.609577635096622</v>
      </c>
      <c r="O13">
        <f>'[1]propulsion MAROF'!AK22</f>
        <v>30.352598714003573</v>
      </c>
      <c r="P13">
        <f t="shared" si="0"/>
        <v>9</v>
      </c>
    </row>
    <row r="14" spans="1:21">
      <c r="A14">
        <f>'[1]propulsion MAROF'!B23</f>
        <v>2.7777777777777777</v>
      </c>
      <c r="B14">
        <f>'[1]propulsion MAROF'!C23</f>
        <v>10</v>
      </c>
      <c r="C14">
        <f>'[1]propulsion MAROF'!W23</f>
        <v>6.9514339060711077</v>
      </c>
      <c r="D14">
        <f>'[1]propulsion MAROF'!X23</f>
        <v>276.47549920027996</v>
      </c>
      <c r="E14">
        <f>'[1]propulsion MAROF'!Z23</f>
        <v>0.7963434759558371</v>
      </c>
      <c r="F14">
        <f>'[1]propulsion MAROF'!AB23</f>
        <v>476.92842651563694</v>
      </c>
      <c r="G14">
        <f>'[1]propulsion MAROF'!AD23</f>
        <v>0.97</v>
      </c>
      <c r="H14">
        <f>'[1]propulsion MAROF'!AE23</f>
        <v>1430.7852795469107</v>
      </c>
      <c r="I14">
        <f>'[1]propulsion MAROF'!AF23</f>
        <v>2.3888089024299339</v>
      </c>
      <c r="J14">
        <f>'[1]propulsion MAROF'!AG23</f>
        <v>368.98843617469618</v>
      </c>
      <c r="K14">
        <f>'[1]propulsion MAROF'!AH23</f>
        <v>0.86</v>
      </c>
      <c r="L14">
        <f t="shared" si="1"/>
        <v>86</v>
      </c>
      <c r="M14">
        <f>'[1]propulsion MAROF'!AI23</f>
        <v>429.05632113336765</v>
      </c>
      <c r="N14">
        <f>'[1]propulsion MAROF'!AJ23</f>
        <v>13.138448963364636</v>
      </c>
      <c r="O14">
        <f>'[1]propulsion MAROF'!AK23</f>
        <v>32.656542817934749</v>
      </c>
      <c r="P14">
        <f t="shared" si="0"/>
        <v>10</v>
      </c>
    </row>
    <row r="15" spans="1:21">
      <c r="A15">
        <f>'[1]propulsion MAROF'!B24</f>
        <v>3.0555555555555554</v>
      </c>
      <c r="B15">
        <f>'[1]propulsion MAROF'!C24</f>
        <v>11</v>
      </c>
      <c r="C15">
        <f>'[1]propulsion MAROF'!W24</f>
        <v>7.7709311556701035</v>
      </c>
      <c r="D15">
        <f>'[1]propulsion MAROF'!X24</f>
        <v>334.53535403233872</v>
      </c>
      <c r="E15">
        <f>'[1]propulsion MAROF'!Z24</f>
        <v>0.80657226070926835</v>
      </c>
      <c r="F15">
        <f>'[1]propulsion MAROF'!AB24</f>
        <v>509.67937545644014</v>
      </c>
      <c r="G15">
        <f>'[1]propulsion MAROF'!AD24</f>
        <v>0.97</v>
      </c>
      <c r="H15">
        <f>'[1]propulsion MAROF'!AE24</f>
        <v>1529.0381263693205</v>
      </c>
      <c r="I15">
        <f>'[1]propulsion MAROF'!AF24</f>
        <v>2.6704230775498634</v>
      </c>
      <c r="J15">
        <f>'[1]propulsion MAROF'!AG24</f>
        <v>440.81389018622178</v>
      </c>
      <c r="K15">
        <f>'[1]propulsion MAROF'!AH24</f>
        <v>0.86</v>
      </c>
      <c r="L15">
        <f t="shared" si="1"/>
        <v>86</v>
      </c>
      <c r="M15">
        <f>'[1]propulsion MAROF'!AI24</f>
        <v>512.57429091421136</v>
      </c>
      <c r="N15">
        <f>'[1]propulsion MAROF'!AJ24</f>
        <v>14.687326926524248</v>
      </c>
      <c r="O15">
        <f>'[1]propulsion MAROF'!AK24</f>
        <v>34.899086367345667</v>
      </c>
      <c r="P15">
        <f t="shared" si="0"/>
        <v>11</v>
      </c>
    </row>
    <row r="16" spans="1:21">
      <c r="A16">
        <f>'[1]propulsion MAROF'!B25</f>
        <v>3.333333333333333</v>
      </c>
      <c r="B16">
        <f>'[1]propulsion MAROF'!C25</f>
        <v>12</v>
      </c>
      <c r="C16">
        <f>'[1]propulsion MAROF'!W25</f>
        <v>8.6160000513259813</v>
      </c>
      <c r="D16">
        <f>'[1]propulsion MAROF'!X25</f>
        <v>398.91231411862987</v>
      </c>
      <c r="E16">
        <f>'[1]propulsion MAROF'!Z25</f>
        <v>0.81570058873351003</v>
      </c>
      <c r="F16">
        <f>'[1]propulsion MAROF'!AB25</f>
        <v>542.01631125295626</v>
      </c>
      <c r="G16">
        <f>'[1]propulsion MAROF'!AD25</f>
        <v>0.97</v>
      </c>
      <c r="H16">
        <f>'[1]propulsion MAROF'!AE25</f>
        <v>1626.0489337588688</v>
      </c>
      <c r="I16">
        <f>'[1]propulsion MAROF'!AF25</f>
        <v>2.9608247599058353</v>
      </c>
      <c r="J16">
        <f>'[1]propulsion MAROF'!AG25</f>
        <v>519.76041266101288</v>
      </c>
      <c r="K16">
        <f>'[1]propulsion MAROF'!AH25</f>
        <v>0.86</v>
      </c>
      <c r="L16">
        <f t="shared" si="1"/>
        <v>86</v>
      </c>
      <c r="M16">
        <f>'[1]propulsion MAROF'!AI25</f>
        <v>604.37257286164288</v>
      </c>
      <c r="N16">
        <f>'[1]propulsion MAROF'!AJ25</f>
        <v>16.284536179482092</v>
      </c>
      <c r="O16">
        <f>'[1]propulsion MAROF'!AK25</f>
        <v>37.113281348665595</v>
      </c>
      <c r="P16">
        <f t="shared" si="0"/>
        <v>12</v>
      </c>
    </row>
    <row r="17" spans="1:16">
      <c r="A17">
        <f>'[1]propulsion MAROF'!B26</f>
        <v>3.6111111111111112</v>
      </c>
      <c r="B17">
        <f>'[1]propulsion MAROF'!C26</f>
        <v>13</v>
      </c>
      <c r="C17">
        <f>'[1]propulsion MAROF'!W26</f>
        <v>10.200625154189343</v>
      </c>
      <c r="D17">
        <f>'[1]propulsion MAROF'!X26</f>
        <v>512.53579109811562</v>
      </c>
      <c r="E17">
        <f>'[1]propulsion MAROF'!Z26</f>
        <v>0.8145812703498202</v>
      </c>
      <c r="F17">
        <f>'[1]propulsion MAROF'!AB26</f>
        <v>589.02587266915157</v>
      </c>
      <c r="G17">
        <f>'[1]propulsion MAROF'!AD26</f>
        <v>0.97</v>
      </c>
      <c r="H17">
        <f>'[1]propulsion MAROF'!AE26</f>
        <v>1767.0776180074547</v>
      </c>
      <c r="I17">
        <f>'[1]propulsion MAROF'!AF26</f>
        <v>3.5053694687935884</v>
      </c>
      <c r="J17">
        <f>'[1]propulsion MAROF'!AG26</f>
        <v>668.72307539973224</v>
      </c>
      <c r="K17">
        <f>'[1]propulsion MAROF'!AH26</f>
        <v>0.86</v>
      </c>
      <c r="L17">
        <f t="shared" si="1"/>
        <v>86</v>
      </c>
      <c r="M17">
        <f>'[1]propulsion MAROF'!AI26</f>
        <v>777.58497139503754</v>
      </c>
      <c r="N17">
        <f>'[1]propulsion MAROF'!AJ26</f>
        <v>19.279532078364735</v>
      </c>
      <c r="O17">
        <f>'[1]propulsion MAROF'!AK26</f>
        <v>40.332149568486379</v>
      </c>
      <c r="P17">
        <f t="shared" si="0"/>
        <v>13</v>
      </c>
    </row>
    <row r="18" spans="1:16">
      <c r="A18">
        <f>'[1]propulsion MAROF'!B27</f>
        <v>3.8888888888888888</v>
      </c>
      <c r="B18">
        <f>'[1]propulsion MAROF'!C27</f>
        <v>14</v>
      </c>
      <c r="C18">
        <f>'[1]propulsion MAROF'!W27</f>
        <v>11.804825285637344</v>
      </c>
      <c r="D18">
        <f>'[1]propulsion MAROF'!X27</f>
        <v>638.48888443196483</v>
      </c>
      <c r="E18">
        <f>'[1]propulsion MAROF'!Z27</f>
        <v>0.81485767303603196</v>
      </c>
      <c r="F18">
        <f>'[1]propulsion MAROF'!AB27</f>
        <v>633.84548306026113</v>
      </c>
      <c r="G18">
        <f>'[1]propulsion MAROF'!AD27</f>
        <v>0.97</v>
      </c>
      <c r="H18">
        <f>'[1]propulsion MAROF'!AE27</f>
        <v>1901.5364491807834</v>
      </c>
      <c r="I18">
        <f>'[1]propulsion MAROF'!AF27</f>
        <v>4.0566409916279529</v>
      </c>
      <c r="J18">
        <f>'[1]propulsion MAROF'!AG27</f>
        <v>832.77583200820061</v>
      </c>
      <c r="K18">
        <f>'[1]propulsion MAROF'!AH27</f>
        <v>0.86</v>
      </c>
      <c r="L18">
        <f t="shared" si="1"/>
        <v>86</v>
      </c>
      <c r="M18">
        <f>'[1]propulsion MAROF'!AI27</f>
        <v>968.34399070721008</v>
      </c>
      <c r="N18">
        <f>'[1]propulsion MAROF'!AJ27</f>
        <v>22.311525453953742</v>
      </c>
      <c r="O18">
        <f>'[1]propulsion MAROF'!AK27</f>
        <v>43.401066086031044</v>
      </c>
      <c r="P18">
        <f t="shared" si="0"/>
        <v>14</v>
      </c>
    </row>
    <row r="19" spans="1:16">
      <c r="A19">
        <f>'[1]propulsion MAROF'!B28</f>
        <v>4.166666666666667</v>
      </c>
      <c r="B19">
        <f>'[1]propulsion MAROF'!C28</f>
        <v>15</v>
      </c>
      <c r="C19">
        <f>'[1]propulsion MAROF'!W28</f>
        <v>13.252782757698979</v>
      </c>
      <c r="D19">
        <f>'[1]propulsion MAROF'!X28</f>
        <v>764.56836510650885</v>
      </c>
      <c r="E19">
        <f>'[1]propulsion MAROF'!Z28</f>
        <v>0.81770189676691496</v>
      </c>
      <c r="F19">
        <f>'[1]propulsion MAROF'!AB28</f>
        <v>673.72959101366428</v>
      </c>
      <c r="G19">
        <f>'[1]propulsion MAROF'!AD28</f>
        <v>0.97</v>
      </c>
      <c r="H19">
        <f>'[1]propulsion MAROF'!AE28</f>
        <v>2021.1887730409928</v>
      </c>
      <c r="I19">
        <f>'[1]propulsion MAROF'!AF28</f>
        <v>4.5542208789343572</v>
      </c>
      <c r="J19">
        <f>'[1]propulsion MAROF'!AG28</f>
        <v>993.75162294594145</v>
      </c>
      <c r="K19">
        <f>'[1]propulsion MAROF'!AH28</f>
        <v>0.88</v>
      </c>
      <c r="L19">
        <f t="shared" si="1"/>
        <v>88</v>
      </c>
      <c r="M19">
        <f>'[1]propulsion MAROF'!AI28</f>
        <v>1129.2632078931154</v>
      </c>
      <c r="N19">
        <f>'[1]propulsion MAROF'!AJ28</f>
        <v>25.048214834138964</v>
      </c>
      <c r="O19">
        <f>'[1]propulsion MAROF'!AK28</f>
        <v>45.083580421627836</v>
      </c>
      <c r="P19">
        <f t="shared" si="0"/>
        <v>15</v>
      </c>
    </row>
    <row r="20" spans="1:16">
      <c r="A20" s="5">
        <f>'[1]propulsion MAROF'!B29</f>
        <v>4.4444444444444446</v>
      </c>
      <c r="B20" s="5">
        <f>'[1]propulsion MAROF'!C29</f>
        <v>16</v>
      </c>
      <c r="C20" s="5">
        <f>'[1]propulsion MAROF'!W29</f>
        <v>14.719571275938161</v>
      </c>
      <c r="D20" s="5">
        <f>'[1]propulsion MAROF'!X29</f>
        <v>901.40581999122139</v>
      </c>
      <c r="E20" s="5">
        <f>'[1]propulsion MAROF'!Z29</f>
        <v>0.82074815742409768</v>
      </c>
      <c r="F20" s="5">
        <f>'[1]propulsion MAROF'!AB29</f>
        <v>712.50294299566292</v>
      </c>
      <c r="G20" s="5">
        <f>'[1]propulsion MAROF'!AD29</f>
        <v>0.97</v>
      </c>
      <c r="H20" s="5">
        <f>'[1]propulsion MAROF'!AE29</f>
        <v>2137.5088289869886</v>
      </c>
      <c r="I20" s="5">
        <f>'[1]propulsion MAROF'!AF29</f>
        <v>5.0582719161299519</v>
      </c>
      <c r="J20" s="5">
        <f>'[1]propulsion MAROF'!AG29</f>
        <v>1167.2583056678466</v>
      </c>
      <c r="K20" s="5">
        <f>'[1]propulsion MAROF'!AH29</f>
        <v>0.88</v>
      </c>
      <c r="L20" s="5">
        <f t="shared" si="1"/>
        <v>88</v>
      </c>
      <c r="M20" s="5">
        <f>'[1]propulsion MAROF'!AI29</f>
        <v>1326.4298928043711</v>
      </c>
      <c r="N20" s="5">
        <f>'[1]propulsion MAROF'!AJ29</f>
        <v>27.820495538714734</v>
      </c>
      <c r="O20" s="5">
        <f>'[1]propulsion MAROF'!AK29</f>
        <v>47.678154796291246</v>
      </c>
      <c r="P20" s="5">
        <f t="shared" si="0"/>
        <v>16</v>
      </c>
    </row>
    <row r="21" spans="1:16">
      <c r="A21">
        <f>'[1]propulsion MAROF'!B30</f>
        <v>4.7222222222222223</v>
      </c>
      <c r="B21">
        <f>'[1]propulsion MAROF'!C30</f>
        <v>17</v>
      </c>
      <c r="C21">
        <f>'[1]propulsion MAROF'!W30</f>
        <v>16.247535775722461</v>
      </c>
      <c r="D21">
        <f>'[1]propulsion MAROF'!X30</f>
        <v>1052.3542098272662</v>
      </c>
      <c r="E21">
        <f>'[1]propulsion MAROF'!Z30</f>
        <v>0.82355426543307897</v>
      </c>
      <c r="F21">
        <f>'[1]propulsion MAROF'!AB30</f>
        <v>751.02363041259321</v>
      </c>
      <c r="G21">
        <f>'[1]propulsion MAROF'!AD30</f>
        <v>0.97</v>
      </c>
      <c r="H21">
        <f>'[1]propulsion MAROF'!AE30</f>
        <v>2253.0708912377795</v>
      </c>
      <c r="I21">
        <f>'[1]propulsion MAROF'!AF30</f>
        <v>5.5833456273960342</v>
      </c>
      <c r="J21">
        <f>'[1]propulsion MAROF'!AG30</f>
        <v>1358.0828137395965</v>
      </c>
      <c r="K21">
        <f>'[1]propulsion MAROF'!AH30</f>
        <v>0.88</v>
      </c>
      <c r="L21">
        <f t="shared" si="1"/>
        <v>88</v>
      </c>
      <c r="M21">
        <f>'[1]propulsion MAROF'!AI30</f>
        <v>1543.2759247040869</v>
      </c>
      <c r="N21">
        <f>'[1]propulsion MAROF'!AJ30</f>
        <v>30.708400950678186</v>
      </c>
      <c r="O21">
        <f>'[1]propulsion MAROF'!AK30</f>
        <v>50.255821759745658</v>
      </c>
      <c r="P21">
        <f t="shared" si="0"/>
        <v>17</v>
      </c>
    </row>
    <row r="22" spans="1:16">
      <c r="A22">
        <f>'[1]propulsion MAROF'!B31</f>
        <v>5</v>
      </c>
      <c r="B22">
        <f>'[1]propulsion MAROF'!C31</f>
        <v>18</v>
      </c>
      <c r="C22">
        <f>'[1]propulsion MAROF'!W31</f>
        <v>17.793137209040303</v>
      </c>
      <c r="D22">
        <f>'[1]propulsion MAROF'!X31</f>
        <v>1214.4332497911441</v>
      </c>
      <c r="E22">
        <f>'[1]propulsion MAROF'!Z31</f>
        <v>0.8264362744350332</v>
      </c>
      <c r="F22">
        <f>'[1]propulsion MAROF'!AB31</f>
        <v>788.64786549392682</v>
      </c>
      <c r="G22">
        <f>'[1]propulsion MAROF'!AD31</f>
        <v>0.97</v>
      </c>
      <c r="H22">
        <f>'[1]propulsion MAROF'!AE31</f>
        <v>2365.9435964817803</v>
      </c>
      <c r="I22">
        <f>'[1]propulsion MAROF'!AF31</f>
        <v>6.1144801405636775</v>
      </c>
      <c r="J22">
        <f>'[1]propulsion MAROF'!AG31</f>
        <v>1561.7834250590704</v>
      </c>
      <c r="K22">
        <f>'[1]propulsion MAROF'!AH31</f>
        <v>0.88</v>
      </c>
      <c r="L22">
        <f t="shared" si="1"/>
        <v>88</v>
      </c>
      <c r="M22">
        <f>'[1]propulsion MAROF'!AI31</f>
        <v>1774.7538921125799</v>
      </c>
      <c r="N22">
        <f>'[1]propulsion MAROF'!AJ31</f>
        <v>33.629640773100228</v>
      </c>
      <c r="O22">
        <f>'[1]propulsion MAROF'!AK31</f>
        <v>52.77350133136644</v>
      </c>
      <c r="P22">
        <f t="shared" si="0"/>
        <v>18</v>
      </c>
    </row>
    <row r="23" spans="1:16">
      <c r="A23">
        <f>'[1]propulsion MAROF'!B32</f>
        <v>5.2777777777777777</v>
      </c>
      <c r="B23">
        <f>'[1]propulsion MAROF'!C32</f>
        <v>19</v>
      </c>
      <c r="C23">
        <f>'[1]propulsion MAROF'!W32</f>
        <v>19.477130799622593</v>
      </c>
      <c r="D23">
        <f>'[1]propulsion MAROF'!X32</f>
        <v>1398.1310003631081</v>
      </c>
      <c r="E23">
        <f>'[1]propulsion MAROF'!Z32</f>
        <v>0.82857851706670882</v>
      </c>
      <c r="F23">
        <f>'[1]propulsion MAROF'!AB32</f>
        <v>827.29537723688964</v>
      </c>
      <c r="G23">
        <f>'[1]propulsion MAROF'!AD32</f>
        <v>0.97</v>
      </c>
      <c r="H23">
        <f>'[1]propulsion MAROF'!AE32</f>
        <v>2481.8861317106689</v>
      </c>
      <c r="I23">
        <f>'[1]propulsion MAROF'!AF32</f>
        <v>6.6931720960902377</v>
      </c>
      <c r="J23">
        <f>'[1]propulsion MAROF'!AG32</f>
        <v>1793.3734163906056</v>
      </c>
      <c r="K23">
        <f>'[1]propulsion MAROF'!AH32</f>
        <v>0.88</v>
      </c>
      <c r="L23">
        <f t="shared" si="1"/>
        <v>88</v>
      </c>
      <c r="M23">
        <f>'[1]propulsion MAROF'!AI32</f>
        <v>2037.9243368075063</v>
      </c>
      <c r="N23">
        <f>'[1]propulsion MAROF'!AJ32</f>
        <v>36.812446528496309</v>
      </c>
      <c r="O23">
        <f>'[1]propulsion MAROF'!AK32</f>
        <v>55.359654926220685</v>
      </c>
      <c r="P23">
        <f t="shared" si="0"/>
        <v>19</v>
      </c>
    </row>
    <row r="24" spans="1:16">
      <c r="A24">
        <f>'[1]propulsion MAROF'!B33</f>
        <v>5.5555555555555554</v>
      </c>
      <c r="B24">
        <f>'[1]propulsion MAROF'!C33</f>
        <v>20</v>
      </c>
      <c r="C24">
        <f>'[1]propulsion MAROF'!W33</f>
        <v>21.184054306263242</v>
      </c>
      <c r="D24">
        <f>'[1]propulsion MAROF'!X33</f>
        <v>1594.5541717592446</v>
      </c>
      <c r="E24">
        <f>'[1]propulsion MAROF'!Z33</f>
        <v>0.8307904836706731</v>
      </c>
      <c r="F24">
        <f>'[1]propulsion MAROF'!AB33</f>
        <v>865.18716044301561</v>
      </c>
      <c r="G24">
        <f>'[1]propulsion MAROF'!AD33</f>
        <v>0.97</v>
      </c>
      <c r="H24">
        <f>'[1]propulsion MAROF'!AE33</f>
        <v>2595.5614813290467</v>
      </c>
      <c r="I24">
        <f>'[1]propulsion MAROF'!AF33</f>
        <v>7.2797437478567835</v>
      </c>
      <c r="J24">
        <f>'[1]propulsion MAROF'!AG33</f>
        <v>2039.8784800079791</v>
      </c>
      <c r="K24">
        <f>'[1]propulsion MAROF'!AH33</f>
        <v>0.88</v>
      </c>
      <c r="L24">
        <f t="shared" si="1"/>
        <v>88</v>
      </c>
      <c r="M24">
        <f>'[1]propulsion MAROF'!AI33</f>
        <v>2318.0437272817944</v>
      </c>
      <c r="N24">
        <f>'[1]propulsion MAROF'!AJ33</f>
        <v>40.038590613212307</v>
      </c>
      <c r="O24">
        <f>'[1]propulsion MAROF'!AK33</f>
        <v>57.895237863763988</v>
      </c>
      <c r="P24">
        <f t="shared" si="0"/>
        <v>20</v>
      </c>
    </row>
    <row r="25" spans="1:16">
      <c r="A25">
        <f>'[1]propulsion MAROF'!B34</f>
        <v>5.833333333333333</v>
      </c>
      <c r="B25">
        <f>'[1]propulsion MAROF'!C34</f>
        <v>21</v>
      </c>
      <c r="C25">
        <f>'[1]propulsion MAROF'!W34</f>
        <v>23.049182862705187</v>
      </c>
      <c r="D25">
        <f>'[1]propulsion MAROF'!X34</f>
        <v>1816.9538479116682</v>
      </c>
      <c r="E25">
        <f>'[1]propulsion MAROF'!Z34</f>
        <v>0.83212073397455211</v>
      </c>
      <c r="F25">
        <f>'[1]propulsion MAROF'!AB34</f>
        <v>904.63503063491146</v>
      </c>
      <c r="G25">
        <f>'[1]propulsion MAROF'!AD34</f>
        <v>0.97</v>
      </c>
      <c r="H25">
        <f>'[1]propulsion MAROF'!AE34</f>
        <v>2713.9050919047345</v>
      </c>
      <c r="I25">
        <f>'[1]propulsion MAROF'!AF34</f>
        <v>7.9206813961186207</v>
      </c>
      <c r="J25">
        <f>'[1]propulsion MAROF'!AG34</f>
        <v>2320.6737189969172</v>
      </c>
      <c r="K25">
        <f>'[1]propulsion MAROF'!AH34</f>
        <v>0.88</v>
      </c>
      <c r="L25">
        <f t="shared" si="1"/>
        <v>88</v>
      </c>
      <c r="M25">
        <f>'[1]propulsion MAROF'!AI34</f>
        <v>2637.1292261328604</v>
      </c>
      <c r="N25">
        <f>'[1]propulsion MAROF'!AJ34</f>
        <v>43.563747678652412</v>
      </c>
      <c r="O25">
        <f>'[1]propulsion MAROF'!AK34</f>
        <v>60.534948590410998</v>
      </c>
      <c r="P25">
        <f t="shared" si="0"/>
        <v>21</v>
      </c>
    </row>
    <row r="26" spans="1:16">
      <c r="A26">
        <f>'[1]propulsion MAROF'!B35</f>
        <v>6.1111111111111107</v>
      </c>
      <c r="B26">
        <f>'[1]propulsion MAROF'!C35</f>
        <v>22</v>
      </c>
      <c r="C26">
        <f>'[1]propulsion MAROF'!W35</f>
        <v>24.925077943570468</v>
      </c>
      <c r="D26">
        <f>'[1]propulsion MAROF'!X35</f>
        <v>2052.9413304988011</v>
      </c>
      <c r="E26">
        <f>'[1]propulsion MAROF'!Z35</f>
        <v>0.83318746803791455</v>
      </c>
      <c r="F26">
        <f>'[1]propulsion MAROF'!AB35</f>
        <v>943.9927655250134</v>
      </c>
      <c r="G26">
        <f>'[1]propulsion MAROF'!AD35</f>
        <v>0.97</v>
      </c>
      <c r="H26">
        <f>'[1]propulsion MAROF'!AE35</f>
        <v>2831.9782965750401</v>
      </c>
      <c r="I26">
        <f>'[1]propulsion MAROF'!AF35</f>
        <v>8.5653188809520504</v>
      </c>
      <c r="J26">
        <f>'[1]propulsion MAROF'!AG35</f>
        <v>2618.7276907825481</v>
      </c>
      <c r="K26">
        <f>'[1]propulsion MAROF'!AH35</f>
        <v>0.88</v>
      </c>
      <c r="L26">
        <f t="shared" si="1"/>
        <v>88</v>
      </c>
      <c r="M26">
        <f>'[1]propulsion MAROF'!AI35</f>
        <v>2975.8269213438048</v>
      </c>
      <c r="N26">
        <f>'[1]propulsion MAROF'!AJ35</f>
        <v>47.109253845236275</v>
      </c>
      <c r="O26">
        <f>'[1]propulsion MAROF'!AK35</f>
        <v>63.168627784256934</v>
      </c>
      <c r="P26">
        <f t="shared" si="0"/>
        <v>22</v>
      </c>
    </row>
    <row r="27" spans="1:16">
      <c r="A27">
        <f>'[1]propulsion MAROF'!B36</f>
        <v>6.3888888888888884</v>
      </c>
      <c r="B27">
        <f>'[1]propulsion MAROF'!C36</f>
        <v>23</v>
      </c>
      <c r="C27">
        <f>'[1]propulsion MAROF'!W36</f>
        <v>26.953229578837615</v>
      </c>
      <c r="D27">
        <f>'[1]propulsion MAROF'!X36</f>
        <v>2316.4614708445506</v>
      </c>
      <c r="E27">
        <f>'[1]propulsion MAROF'!Z36</f>
        <v>0.83394765532940773</v>
      </c>
      <c r="F27">
        <f>'[1]propulsion MAROF'!AB36</f>
        <v>984.11728685428341</v>
      </c>
      <c r="G27">
        <f>'[1]propulsion MAROF'!AD36</f>
        <v>0.97</v>
      </c>
      <c r="H27">
        <f>'[1]propulsion MAROF'!AE36</f>
        <v>2952.3518605628501</v>
      </c>
      <c r="I27">
        <f>'[1]propulsion MAROF'!AF36</f>
        <v>9.2622782057861208</v>
      </c>
      <c r="J27">
        <f>'[1]propulsion MAROF'!AG36</f>
        <v>2952.1799105991417</v>
      </c>
      <c r="K27">
        <f>'[1]propulsion MAROF'!AH36</f>
        <v>0.88</v>
      </c>
      <c r="L27">
        <f t="shared" si="1"/>
        <v>88</v>
      </c>
      <c r="M27">
        <f>'[1]propulsion MAROF'!AI36</f>
        <v>3354.7498984081158</v>
      </c>
      <c r="N27">
        <f>'[1]propulsion MAROF'!AJ36</f>
        <v>50.942530131823666</v>
      </c>
      <c r="O27">
        <f>'[1]propulsion MAROF'!AK36</f>
        <v>65.853617590784168</v>
      </c>
      <c r="P27">
        <f t="shared" si="0"/>
        <v>23</v>
      </c>
    </row>
    <row r="28" spans="1:16">
      <c r="A28">
        <f>'[1]propulsion MAROF'!B37</f>
        <v>6.6666666666666661</v>
      </c>
      <c r="B28">
        <f>'[1]propulsion MAROF'!C37</f>
        <v>24</v>
      </c>
      <c r="C28">
        <f>'[1]propulsion MAROF'!W37</f>
        <v>28.998724674084389</v>
      </c>
      <c r="D28">
        <f>'[1]propulsion MAROF'!X37</f>
        <v>2595.042701733159</v>
      </c>
      <c r="E28">
        <f>'[1]propulsion MAROF'!Z37</f>
        <v>0.83478994937367135</v>
      </c>
      <c r="F28">
        <f>'[1]propulsion MAROF'!AB37</f>
        <v>1023.6695391232981</v>
      </c>
      <c r="G28">
        <f>'[1]propulsion MAROF'!AD37</f>
        <v>0.97</v>
      </c>
      <c r="H28">
        <f>'[1]propulsion MAROF'!AE37</f>
        <v>3071.0086173698946</v>
      </c>
      <c r="I28">
        <f>'[1]propulsion MAROF'!AF37</f>
        <v>9.9651974825032266</v>
      </c>
      <c r="J28">
        <f>'[1]propulsion MAROF'!AG37</f>
        <v>3303.8766791639964</v>
      </c>
      <c r="K28">
        <f>'[1]propulsion MAROF'!AH37</f>
        <v>0.88</v>
      </c>
      <c r="L28">
        <f t="shared" si="1"/>
        <v>88</v>
      </c>
      <c r="M28">
        <f>'[1]propulsion MAROF'!AI37</f>
        <v>3754.405317231814</v>
      </c>
      <c r="N28">
        <f>'[1]propulsion MAROF'!AJ37</f>
        <v>54.808586153767742</v>
      </c>
      <c r="O28">
        <f>'[1]propulsion MAROF'!AK37</f>
        <v>68.500313193605749</v>
      </c>
      <c r="P28">
        <f t="shared" si="0"/>
        <v>24</v>
      </c>
    </row>
    <row r="29" spans="1:16">
      <c r="A29">
        <f>'[1]propulsion MAROF'!B38</f>
        <v>6.9444444444444446</v>
      </c>
      <c r="B29">
        <f>'[1]propulsion MAROF'!C38</f>
        <v>25</v>
      </c>
      <c r="C29">
        <f>'[1]propulsion MAROF'!W38</f>
        <v>30.39619781416679</v>
      </c>
      <c r="D29">
        <f>'[1]propulsion MAROF'!X38</f>
        <v>2815.8923437843714</v>
      </c>
      <c r="E29">
        <f>'[1]propulsion MAROF'!Z38</f>
        <v>0.83715580817896729</v>
      </c>
      <c r="F29">
        <f>'[1]propulsion MAROF'!AB38</f>
        <v>1056.7247324587975</v>
      </c>
      <c r="G29">
        <f>'[1]propulsion MAROF'!AD38</f>
        <v>0.97</v>
      </c>
      <c r="H29">
        <f>'[1]propulsion MAROF'!AE38</f>
        <v>3170.1741973763924</v>
      </c>
      <c r="I29">
        <f>'[1]propulsion MAROF'!AF38</f>
        <v>10.445428802119171</v>
      </c>
      <c r="J29">
        <f>'[1]propulsion MAROF'!AG38</f>
        <v>3574.9196394196792</v>
      </c>
      <c r="K29">
        <f>'[1]propulsion MAROF'!AH38</f>
        <v>0.88</v>
      </c>
      <c r="L29">
        <f t="shared" si="1"/>
        <v>88</v>
      </c>
      <c r="M29">
        <f>'[1]propulsion MAROF'!AI38</f>
        <v>4062.4086811587263</v>
      </c>
      <c r="N29">
        <f>'[1]propulsion MAROF'!AJ38</f>
        <v>57.449858411655441</v>
      </c>
      <c r="O29">
        <f>'[1]propulsion MAROF'!AK38</f>
        <v>70.712248793541747</v>
      </c>
      <c r="P29">
        <f t="shared" si="0"/>
        <v>25</v>
      </c>
    </row>
    <row r="30" spans="1:16">
      <c r="A30">
        <f>'[1]propulsion MAROF'!B39</f>
        <v>7.2222222222222223</v>
      </c>
      <c r="B30">
        <f>'[1]propulsion MAROF'!C39</f>
        <v>26</v>
      </c>
      <c r="C30">
        <f>'[1]propulsion MAROF'!W39</f>
        <v>31.80226525037957</v>
      </c>
      <c r="D30">
        <f>'[1]propulsion MAROF'!X39</f>
        <v>3045.6691590371756</v>
      </c>
      <c r="E30">
        <f>'[1]propulsion MAROF'!Z39</f>
        <v>0.83932132193275111</v>
      </c>
      <c r="F30">
        <f>'[1]propulsion MAROF'!AB39</f>
        <v>1089.6017600711566</v>
      </c>
      <c r="G30">
        <f>'[1]propulsion MAROF'!AD39</f>
        <v>0.97</v>
      </c>
      <c r="H30">
        <f>'[1]propulsion MAROF'!AE39</f>
        <v>3268.8052802134698</v>
      </c>
      <c r="I30">
        <f>'[1]propulsion MAROF'!AF39</f>
        <v>10.928613488102945</v>
      </c>
      <c r="J30">
        <f>'[1]propulsion MAROF'!AG39</f>
        <v>3856.6568703821399</v>
      </c>
      <c r="K30">
        <f>'[1]propulsion MAROF'!AH39</f>
        <v>0.88</v>
      </c>
      <c r="L30">
        <f t="shared" si="1"/>
        <v>88</v>
      </c>
      <c r="M30">
        <f>'[1]propulsion MAROF'!AI39</f>
        <v>4382.56462543425</v>
      </c>
      <c r="N30">
        <f>'[1]propulsion MAROF'!AJ39</f>
        <v>60.107374184566197</v>
      </c>
      <c r="O30">
        <f>'[1]propulsion MAROF'!AK39</f>
        <v>72.912262178965122</v>
      </c>
      <c r="P30">
        <f t="shared" si="0"/>
        <v>26</v>
      </c>
    </row>
    <row r="31" spans="1:16">
      <c r="A31">
        <f>'[1]propulsion MAROF'!B40</f>
        <v>7.5</v>
      </c>
      <c r="B31">
        <f>'[1]propulsion MAROF'!C40</f>
        <v>27</v>
      </c>
      <c r="C31">
        <f>'[1]propulsion MAROF'!W40</f>
        <v>33.217932712661352</v>
      </c>
      <c r="D31">
        <f>'[1]propulsion MAROF'!X40</f>
        <v>3284.456829790091</v>
      </c>
      <c r="E31">
        <f>'[1]propulsion MAROF'!Z40</f>
        <v>0.84128767620733091</v>
      </c>
      <c r="F31">
        <f>'[1]propulsion MAROF'!AB40</f>
        <v>1122.3228675644837</v>
      </c>
      <c r="G31">
        <f>'[1]propulsion MAROF'!AD40</f>
        <v>0.97</v>
      </c>
      <c r="H31">
        <f>'[1]propulsion MAROF'!AE40</f>
        <v>3366.968602693451</v>
      </c>
      <c r="I31">
        <f>'[1]propulsion MAROF'!AF40</f>
        <v>11.415097152117303</v>
      </c>
      <c r="J31">
        <f>'[1]propulsion MAROF'!AG40</f>
        <v>4149.3069390624578</v>
      </c>
      <c r="K31">
        <f>'[1]propulsion MAROF'!AH40</f>
        <v>0.88</v>
      </c>
      <c r="L31">
        <f t="shared" si="1"/>
        <v>88</v>
      </c>
      <c r="M31">
        <f>'[1]propulsion MAROF'!AI40</f>
        <v>4715.1215216618839</v>
      </c>
      <c r="N31">
        <f>'[1]propulsion MAROF'!AJ40</f>
        <v>62.783034336645166</v>
      </c>
      <c r="O31">
        <f>'[1]propulsion MAROF'!AK40</f>
        <v>75.101841946332371</v>
      </c>
      <c r="P31">
        <f t="shared" si="0"/>
        <v>27</v>
      </c>
    </row>
    <row r="32" spans="1:16">
      <c r="A32">
        <f>'[1]propulsion MAROF'!B41</f>
        <v>7.7777777777777777</v>
      </c>
      <c r="B32">
        <f>'[1]propulsion MAROF'!C41</f>
        <v>28</v>
      </c>
      <c r="C32">
        <f>'[1]propulsion MAROF'!W41</f>
        <v>34.643399687276393</v>
      </c>
      <c r="D32">
        <f>'[1]propulsion MAROF'!X41</f>
        <v>3532.2553560431161</v>
      </c>
      <c r="E32">
        <f>'[1]propulsion MAROF'!Z41</f>
        <v>0.84305928517311524</v>
      </c>
      <c r="F32">
        <f>'[1]propulsion MAROF'!AB41</f>
        <v>1154.9012570156226</v>
      </c>
      <c r="G32">
        <f>'[1]propulsion MAROF'!AD41</f>
        <v>0.97</v>
      </c>
      <c r="H32">
        <f>'[1]propulsion MAROF'!AE41</f>
        <v>3464.7037710468676</v>
      </c>
      <c r="I32">
        <f>'[1]propulsion MAROF'!AF41</f>
        <v>11.90494834614309</v>
      </c>
      <c r="J32">
        <f>'[1]propulsion MAROF'!AG41</f>
        <v>4452.9775731920145</v>
      </c>
      <c r="K32">
        <f>'[1]propulsion MAROF'!AH41</f>
        <v>0.88</v>
      </c>
      <c r="L32">
        <f t="shared" si="1"/>
        <v>88</v>
      </c>
      <c r="M32">
        <f>'[1]propulsion MAROF'!AI41</f>
        <v>5060.2017877181979</v>
      </c>
      <c r="N32">
        <f>'[1]propulsion MAROF'!AJ41</f>
        <v>65.477215903786998</v>
      </c>
      <c r="O32">
        <f>'[1]propulsion MAROF'!AK41</f>
        <v>77.281871531522029</v>
      </c>
      <c r="P32">
        <f t="shared" si="0"/>
        <v>28</v>
      </c>
    </row>
    <row r="33" spans="1:16">
      <c r="A33">
        <f>'[1]propulsion MAROF'!B42</f>
        <v>8.0555555555555554</v>
      </c>
      <c r="B33">
        <f>'[1]propulsion MAROF'!C42</f>
        <v>29</v>
      </c>
      <c r="C33">
        <f>'[1]propulsion MAROF'!W42</f>
        <v>36.078852733870328</v>
      </c>
      <c r="D33">
        <f>'[1]propulsion MAROF'!X42</f>
        <v>3789.0647377962487</v>
      </c>
      <c r="E33">
        <f>'[1]propulsion MAROF'!Z42</f>
        <v>0.84464149690969659</v>
      </c>
      <c r="F33">
        <f>'[1]propulsion MAROF'!AB42</f>
        <v>1187.3486809509261</v>
      </c>
      <c r="G33">
        <f>'[1]propulsion MAROF'!AD42</f>
        <v>0.97</v>
      </c>
      <c r="H33">
        <f>'[1]propulsion MAROF'!AE42</f>
        <v>3562.0460428527786</v>
      </c>
      <c r="I33">
        <f>'[1]propulsion MAROF'!AF42</f>
        <v>12.398231180024167</v>
      </c>
      <c r="J33">
        <f>'[1]propulsion MAROF'!AG42</f>
        <v>4767.7792871427037</v>
      </c>
      <c r="K33">
        <f>'[1]propulsion MAROF'!AH42</f>
        <v>0.88</v>
      </c>
      <c r="L33">
        <f t="shared" si="1"/>
        <v>88</v>
      </c>
      <c r="M33">
        <f>'[1]propulsion MAROF'!AI42</f>
        <v>5417.9310081167087</v>
      </c>
      <c r="N33">
        <f>'[1]propulsion MAROF'!AJ42</f>
        <v>68.190271490132915</v>
      </c>
      <c r="O33">
        <f>'[1]propulsion MAROF'!AK42</f>
        <v>79.45313737166569</v>
      </c>
      <c r="P33">
        <f t="shared" si="0"/>
        <v>29</v>
      </c>
    </row>
    <row r="34" spans="1:16">
      <c r="A34">
        <f>'[1]propulsion MAROF'!B43</f>
        <v>8.3333333333333339</v>
      </c>
      <c r="B34">
        <f>'[1]propulsion MAROF'!C43</f>
        <v>30</v>
      </c>
      <c r="C34">
        <f>'[1]propulsion MAROF'!W43</f>
        <v>37.524466045173199</v>
      </c>
      <c r="D34">
        <f>'[1]propulsion MAROF'!X43</f>
        <v>4054.8849750494969</v>
      </c>
      <c r="E34">
        <f>'[1]propulsion MAROF'!Z43</f>
        <v>0.84604030169056055</v>
      </c>
      <c r="F34">
        <f>'[1]propulsion MAROF'!AB43</f>
        <v>1219.6756359768863</v>
      </c>
      <c r="G34">
        <f>'[1]propulsion MAROF'!AD43</f>
        <v>0.97</v>
      </c>
      <c r="H34">
        <f>'[1]propulsion MAROF'!AE43</f>
        <v>3659.026907930659</v>
      </c>
      <c r="I34">
        <f>'[1]propulsion MAROF'!AF43</f>
        <v>12.895005513805222</v>
      </c>
      <c r="J34">
        <f>'[1]propulsion MAROF'!AG43</f>
        <v>5093.824983116825</v>
      </c>
      <c r="K34">
        <f>'[1]propulsion MAROF'!AH43</f>
        <v>0.88</v>
      </c>
      <c r="L34">
        <f t="shared" si="1"/>
        <v>88</v>
      </c>
      <c r="M34">
        <f>'[1]propulsion MAROF'!AI43</f>
        <v>5788.437480814574</v>
      </c>
      <c r="N34">
        <f>'[1]propulsion MAROF'!AJ43</f>
        <v>70.922530325928719</v>
      </c>
      <c r="O34">
        <f>'[1]propulsion MAROF'!AK43</f>
        <v>81.616341862218732</v>
      </c>
      <c r="P34">
        <f t="shared" si="0"/>
        <v>30</v>
      </c>
    </row>
  </sheetData>
  <mergeCells count="3">
    <mergeCell ref="A1:B1"/>
    <mergeCell ref="C1:F1"/>
    <mergeCell ref="H1:O1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554E5-0F0F-44D5-B70E-A75B28EA55B8}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 Realistic calculation</vt:lpstr>
      <vt:lpstr>Theoretical calculation</vt:lpstr>
      <vt:lpstr>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49413</dc:creator>
  <cp:lastModifiedBy>49413</cp:lastModifiedBy>
  <dcterms:created xsi:type="dcterms:W3CDTF">2020-11-30T19:48:36Z</dcterms:created>
  <dcterms:modified xsi:type="dcterms:W3CDTF">2021-01-08T11:43:07Z</dcterms:modified>
</cp:coreProperties>
</file>